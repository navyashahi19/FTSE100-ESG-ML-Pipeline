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d1ddec9aa72935/Apps/Desktop/data/"/>
    </mc:Choice>
  </mc:AlternateContent>
  <xr:revisionPtr revIDLastSave="0" documentId="8_{AF9D2668-5078-4297-9070-89316136D232}" xr6:coauthVersionLast="47" xr6:coauthVersionMax="47" xr10:uidLastSave="{00000000-0000-0000-0000-000000000000}"/>
  <bookViews>
    <workbookView xWindow="-110" yWindow="-110" windowWidth="19420" windowHeight="11500" xr2:uid="{070D8DF3-D024-4381-A0A3-61068A126BE2}"/>
  </bookViews>
  <sheets>
    <sheet name="Sheet1" sheetId="1" r:id="rId1"/>
    <sheet name="MDMxOTJiZDMtNWI4OS00Nz" sheetId="3" state="veryHidden" r:id="rId2"/>
    <sheet name="Sheet2" sheetId="2" r:id="rId3"/>
    <sheet name="Sheet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" i="4" l="1"/>
  <c r="C1" i="2"/>
  <c r="C5" i="1"/>
</calcChain>
</file>

<file path=xl/sharedStrings.xml><?xml version="1.0" encoding="utf-8"?>
<sst xmlns="http://schemas.openxmlformats.org/spreadsheetml/2006/main" count="8601" uniqueCount="136">
  <si>
    <t>III.L</t>
  </si>
  <si>
    <t>LAND.L</t>
  </si>
  <si>
    <t>RTO.L</t>
  </si>
  <si>
    <t>PSHP.L</t>
  </si>
  <si>
    <t>HSX.L</t>
  </si>
  <si>
    <t>MTLN.L</t>
  </si>
  <si>
    <t>INF.L</t>
  </si>
  <si>
    <t>UU.L</t>
  </si>
  <si>
    <t>AAF.L</t>
  </si>
  <si>
    <t>CCC.L</t>
  </si>
  <si>
    <t>HWDN.L</t>
  </si>
  <si>
    <t>ULVR.L</t>
  </si>
  <si>
    <t>ITRK.L</t>
  </si>
  <si>
    <t>IMB.L</t>
  </si>
  <si>
    <t>LLOY.L</t>
  </si>
  <si>
    <t>CCH.L</t>
  </si>
  <si>
    <t>LSEG.L</t>
  </si>
  <si>
    <t>BTRW.L</t>
  </si>
  <si>
    <t>SSE.L</t>
  </si>
  <si>
    <t>ICAG.L</t>
  </si>
  <si>
    <t>NWG.L</t>
  </si>
  <si>
    <t>IMI.L</t>
  </si>
  <si>
    <t>STAN.L</t>
  </si>
  <si>
    <t>REL.L</t>
  </si>
  <si>
    <t>SHEL.L</t>
  </si>
  <si>
    <t>BT.L</t>
  </si>
  <si>
    <t>FRES.L</t>
  </si>
  <si>
    <t>BRBY.L</t>
  </si>
  <si>
    <t>SN.L</t>
  </si>
  <si>
    <t>ANTO.L</t>
  </si>
  <si>
    <t>PRU.L</t>
  </si>
  <si>
    <t>IHG.L</t>
  </si>
  <si>
    <t>RKT.L</t>
  </si>
  <si>
    <t>EXPN.L</t>
  </si>
  <si>
    <t>HLMA.L</t>
  </si>
  <si>
    <t>BAES.L</t>
  </si>
  <si>
    <t>HSBA.L</t>
  </si>
  <si>
    <t>WTB.L</t>
  </si>
  <si>
    <t>DCC.L</t>
  </si>
  <si>
    <t>BNZL.L</t>
  </si>
  <si>
    <t>ICGIN.L</t>
  </si>
  <si>
    <t>SDLF.L</t>
  </si>
  <si>
    <t>ALWA.L</t>
  </si>
  <si>
    <t>CRDA.L</t>
  </si>
  <si>
    <t>SGE.L</t>
  </si>
  <si>
    <t>AV.L</t>
  </si>
  <si>
    <t>HLN.L</t>
  </si>
  <si>
    <t>NG.L</t>
  </si>
  <si>
    <t>SMIN.L</t>
  </si>
  <si>
    <t>PSON.L</t>
  </si>
  <si>
    <t>JD.L</t>
  </si>
  <si>
    <t>RIO.L</t>
  </si>
  <si>
    <t>BEZG.L</t>
  </si>
  <si>
    <t>NXT.L</t>
  </si>
  <si>
    <t>DPLM.L</t>
  </si>
  <si>
    <t>BP.L</t>
  </si>
  <si>
    <t>RR.L</t>
  </si>
  <si>
    <t>SGRO.L</t>
  </si>
  <si>
    <t>MKS.L</t>
  </si>
  <si>
    <t>CCEPC.L</t>
  </si>
  <si>
    <t>SJP.L</t>
  </si>
  <si>
    <t>BARC.L</t>
  </si>
  <si>
    <t>MRON.L</t>
  </si>
  <si>
    <t>SPX.L</t>
  </si>
  <si>
    <t>BBOXT.L</t>
  </si>
  <si>
    <t>AUTOA.L</t>
  </si>
  <si>
    <t>GSK.L</t>
  </si>
  <si>
    <t>EDV.L</t>
  </si>
  <si>
    <t>ABDN.L</t>
  </si>
  <si>
    <t>MNG.L</t>
  </si>
  <si>
    <t>VOD.L</t>
  </si>
  <si>
    <t>GAW.L</t>
  </si>
  <si>
    <t>SMT.L</t>
  </si>
  <si>
    <t>GLEN.L</t>
  </si>
  <si>
    <t>CPG.L</t>
  </si>
  <si>
    <t>ENT.L</t>
  </si>
  <si>
    <t>ADML.L</t>
  </si>
  <si>
    <t>AZN.L</t>
  </si>
  <si>
    <t>KGF.L</t>
  </si>
  <si>
    <t>SVT.L</t>
  </si>
  <si>
    <t>FCIT.L</t>
  </si>
  <si>
    <t>BAB.L</t>
  </si>
  <si>
    <t>BATS.L</t>
  </si>
  <si>
    <t>SDR.L</t>
  </si>
  <si>
    <t>BLND.L</t>
  </si>
  <si>
    <t>CNA.L</t>
  </si>
  <si>
    <t>LMPL.L</t>
  </si>
  <si>
    <t>SBRY.L</t>
  </si>
  <si>
    <t>PCT.L</t>
  </si>
  <si>
    <t>TSCO.L</t>
  </si>
  <si>
    <t>BGEO.L</t>
  </si>
  <si>
    <t>IGG.L</t>
  </si>
  <si>
    <t>CTEC.L</t>
  </si>
  <si>
    <t>WEIR.L</t>
  </si>
  <si>
    <t>LGEN.L</t>
  </si>
  <si>
    <t>AAL.L</t>
  </si>
  <si>
    <t>DGE.L</t>
  </si>
  <si>
    <t>INVP.L</t>
  </si>
  <si>
    <t>ABF.L</t>
  </si>
  <si>
    <t>PSN.L</t>
  </si>
  <si>
    <t>NULL</t>
  </si>
  <si>
    <t>Environmental Pillar Score</t>
  </si>
  <si>
    <t>Social Pillar Score</t>
  </si>
  <si>
    <t>Governance Pillar Score</t>
  </si>
  <si>
    <t>ESG Score</t>
  </si>
  <si>
    <t>CO2 Equivalent Emissions Total</t>
  </si>
  <si>
    <t>Independent Board Members</t>
  </si>
  <si>
    <t>Board Size</t>
  </si>
  <si>
    <t>Renewable Energy Use</t>
  </si>
  <si>
    <t>Waste Total</t>
  </si>
  <si>
    <t>Water Pollutant Emissions</t>
  </si>
  <si>
    <t>Health &amp; Safety Policy</t>
  </si>
  <si>
    <t>Training Hours Total</t>
  </si>
  <si>
    <t>Human Rights Policy Score</t>
  </si>
  <si>
    <t>Biodiversity Supply Chain Policy</t>
  </si>
  <si>
    <t>Product Responsibility Score</t>
  </si>
  <si>
    <t>Lost Time Injury Rate Total</t>
  </si>
  <si>
    <t>Employee Satisfaction</t>
  </si>
  <si>
    <t>CSR Sustainability Committee</t>
  </si>
  <si>
    <t>Shareholder Rights Policy</t>
  </si>
  <si>
    <t>Policy Data Privacy Score</t>
  </si>
  <si>
    <t>Price Close</t>
  </si>
  <si>
    <t>Company Market Cap</t>
  </si>
  <si>
    <t>Total Return</t>
  </si>
  <si>
    <t>Financials</t>
  </si>
  <si>
    <t>Real Estate</t>
  </si>
  <si>
    <t>Industrials</t>
  </si>
  <si>
    <t>Communication Services</t>
  </si>
  <si>
    <t>Utilities</t>
  </si>
  <si>
    <t>Information Technology</t>
  </si>
  <si>
    <t>Consumer Staples</t>
  </si>
  <si>
    <t>Consumer Discretionary</t>
  </si>
  <si>
    <t>Energy</t>
  </si>
  <si>
    <t>Materials</t>
  </si>
  <si>
    <t>Health Care</t>
  </si>
  <si>
    <t>GICS Sector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</si>
</sst>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sz val="11"/>
      <color rgb="FFFFFFFF"/>
      <name val="Segoe UI"/>
      <family val="2"/>
    </font>
    <font>
      <sz val="7"/>
      <color rgb="FFC3C2B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quotePrefix="1"/>
    <xf numFmtId="14" fontId="0" fillId="0" borderId="0" xfId="0" applyNumberFormat="1"/>
    <xf numFmtId="14" fontId="0" fillId="0" borderId="0" xfId="0" quotePrefix="1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data">
      <tp t="s">
        <v>Not Signed In</v>
        <stp/>
        <stp>6</stp>
        <stp>67516781</stp>
        <tr r="C1" s="2"/>
      </tp>
      <tp t="s">
        <v>Not Signed In</v>
        <stp/>
        <stp>7</stp>
        <stp>67516781</stp>
        <tr r="C5" s="1"/>
      </tp>
      <tp t="s">
        <v>Not Signed In</v>
        <stp/>
        <stp>5</stp>
        <stp>67516781</stp>
        <tr r="C1" s="4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volatileDependencies" Target="volatileDependencies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92CBF-FF0B-4FD8-8DFA-2235C015C0B8}">
  <dimension ref="A1:X1110"/>
  <sheetViews>
    <sheetView tabSelected="1" workbookViewId="0">
      <selection activeCell="B2" sqref="B2"/>
    </sheetView>
  </sheetViews>
  <sheetFormatPr defaultRowHeight="14.5" x14ac:dyDescent="0.35"/>
  <cols>
    <col min="2" max="2" width="28.90625" customWidth="1"/>
    <col min="3" max="3" width="19.54296875" customWidth="1"/>
    <col min="4" max="4" width="16" customWidth="1"/>
    <col min="5" max="5" width="24.90625" customWidth="1"/>
    <col min="6" max="6" width="22.81640625" customWidth="1"/>
    <col min="7" max="7" width="24.08984375" customWidth="1"/>
    <col min="8" max="8" width="23.08984375" customWidth="1"/>
    <col min="9" max="9" width="18.7265625" customWidth="1"/>
    <col min="10" max="10" width="20.08984375" customWidth="1"/>
    <col min="11" max="11" width="20" customWidth="1"/>
    <col min="12" max="26" width="26.1796875" customWidth="1"/>
  </cols>
  <sheetData>
    <row r="1" spans="1:24" x14ac:dyDescent="0.35">
      <c r="A1" s="1" t="s">
        <v>0</v>
      </c>
    </row>
    <row r="2" spans="1:24" x14ac:dyDescent="0.35">
      <c r="A2" s="1" t="s">
        <v>1</v>
      </c>
    </row>
    <row r="3" spans="1:24" x14ac:dyDescent="0.35">
      <c r="A3" s="1" t="s">
        <v>2</v>
      </c>
    </row>
    <row r="4" spans="1:24" x14ac:dyDescent="0.35">
      <c r="A4" s="1" t="s">
        <v>3</v>
      </c>
    </row>
    <row r="5" spans="1:24" ht="16.5" x14ac:dyDescent="0.45">
      <c r="A5" s="1" t="s">
        <v>4</v>
      </c>
      <c r="C5" s="5" t="str">
        <f>_xll.RDP.Data($A$1:$A$100,_xlfn._LONGTEXT("TR.EnvironmentPillarScore;TR.SocialPillarScore;TR.GovernancePillarScore;TR.TRESGScore;TR.CO2EmissionTotal;TR.AnalyticIndepBoard;TR.BoardSize;TR.RenewEnergyUse;TR.WasteTotal;TR.WaterPollutantEmissions;TR.AnalyticHealthSafetyPolicy;TR.TrainingHoursTotal;TR.","AnalyticHumanRightsPolicyScore;TR.BiodiversitySupplyChainPolicy;TR.TRESGProductResponsibilityScore;TR.LTIRTotal;TR.EmployeeSatisfaction;TR.SustainabilityComm;TR.AnalyticShareholderRightsPolicy;TR.PolicyDataPrivacyScore"),"CH=Fd RH=IN;date SDate=0 EDate=-9 Frq=FY")</f>
        <v>Not Signed In</v>
      </c>
      <c r="D5" s="2"/>
      <c r="E5" s="2" t="s">
        <v>101</v>
      </c>
      <c r="F5" s="2" t="s">
        <v>102</v>
      </c>
      <c r="G5" s="2" t="s">
        <v>103</v>
      </c>
      <c r="H5" s="2" t="s">
        <v>104</v>
      </c>
      <c r="I5" s="2" t="s">
        <v>105</v>
      </c>
      <c r="J5" s="2" t="s">
        <v>106</v>
      </c>
      <c r="K5" s="2" t="s">
        <v>107</v>
      </c>
      <c r="L5" s="2" t="s">
        <v>108</v>
      </c>
      <c r="M5" s="2" t="s">
        <v>109</v>
      </c>
      <c r="N5" s="2" t="s">
        <v>110</v>
      </c>
      <c r="O5" s="2" t="s">
        <v>111</v>
      </c>
      <c r="P5" s="2" t="s">
        <v>112</v>
      </c>
      <c r="Q5" s="2" t="s">
        <v>113</v>
      </c>
      <c r="R5" s="2" t="s">
        <v>114</v>
      </c>
      <c r="S5" s="2" t="s">
        <v>115</v>
      </c>
      <c r="T5" s="2" t="s">
        <v>116</v>
      </c>
      <c r="U5" s="2" t="s">
        <v>117</v>
      </c>
      <c r="V5" s="2" t="s">
        <v>118</v>
      </c>
      <c r="W5" s="2" t="s">
        <v>119</v>
      </c>
      <c r="X5" s="2" t="s">
        <v>120</v>
      </c>
    </row>
    <row r="6" spans="1:24" x14ac:dyDescent="0.35">
      <c r="A6" s="1" t="s">
        <v>5</v>
      </c>
      <c r="C6" s="2" t="s">
        <v>0</v>
      </c>
      <c r="D6" s="3">
        <v>45747</v>
      </c>
      <c r="E6">
        <v>86.911445816763504</v>
      </c>
      <c r="F6">
        <v>60.964291264348503</v>
      </c>
      <c r="G6">
        <v>80.787189327485294</v>
      </c>
      <c r="H6">
        <v>73.838042552418599</v>
      </c>
      <c r="I6">
        <v>297.10000000000002</v>
      </c>
      <c r="J6">
        <v>70</v>
      </c>
      <c r="K6">
        <v>10</v>
      </c>
      <c r="L6" t="b">
        <v>1</v>
      </c>
      <c r="M6" s="2">
        <v>102</v>
      </c>
      <c r="N6" s="2" t="s">
        <v>100</v>
      </c>
      <c r="O6" s="2" t="b">
        <v>1</v>
      </c>
      <c r="P6" s="2" t="s">
        <v>100</v>
      </c>
      <c r="Q6">
        <v>69.909916611739803</v>
      </c>
      <c r="R6" t="b">
        <v>0</v>
      </c>
      <c r="S6">
        <v>42.111959287531803</v>
      </c>
      <c r="T6" s="2">
        <v>0</v>
      </c>
      <c r="U6" s="2" t="s">
        <v>100</v>
      </c>
      <c r="V6" t="b">
        <v>1</v>
      </c>
      <c r="W6" t="b">
        <v>1</v>
      </c>
      <c r="X6">
        <v>54.418604651162703</v>
      </c>
    </row>
    <row r="7" spans="1:24" x14ac:dyDescent="0.35">
      <c r="A7" s="1" t="s">
        <v>6</v>
      </c>
      <c r="C7" s="2" t="s">
        <v>0</v>
      </c>
      <c r="D7" s="3">
        <v>45382</v>
      </c>
      <c r="E7">
        <v>87.679076283276203</v>
      </c>
      <c r="F7">
        <v>61.677974961272398</v>
      </c>
      <c r="G7">
        <v>77.972040668119106</v>
      </c>
      <c r="H7">
        <v>72.913703714175497</v>
      </c>
      <c r="I7">
        <v>346.6</v>
      </c>
      <c r="J7">
        <v>70</v>
      </c>
      <c r="K7">
        <v>9</v>
      </c>
      <c r="L7" t="b">
        <v>1</v>
      </c>
      <c r="M7" s="2">
        <v>63.1</v>
      </c>
      <c r="N7" s="2" t="s">
        <v>100</v>
      </c>
      <c r="O7" t="b">
        <v>1</v>
      </c>
      <c r="P7" s="2" t="s">
        <v>100</v>
      </c>
      <c r="Q7">
        <v>70.2374273937494</v>
      </c>
      <c r="R7" t="b">
        <v>0</v>
      </c>
      <c r="S7" s="2">
        <v>42.146596858638702</v>
      </c>
      <c r="T7" s="2">
        <v>0</v>
      </c>
      <c r="U7" s="2" t="s">
        <v>100</v>
      </c>
      <c r="V7" t="b">
        <v>1</v>
      </c>
      <c r="W7" t="b">
        <v>1</v>
      </c>
      <c r="X7">
        <v>53.1941031941031</v>
      </c>
    </row>
    <row r="8" spans="1:24" x14ac:dyDescent="0.35">
      <c r="A8" s="1" t="s">
        <v>7</v>
      </c>
      <c r="C8" s="2" t="s">
        <v>0</v>
      </c>
      <c r="D8" s="3">
        <v>45016</v>
      </c>
      <c r="E8">
        <v>89.980227972242503</v>
      </c>
      <c r="F8">
        <v>61.869092904218</v>
      </c>
      <c r="G8">
        <v>69.756260193369897</v>
      </c>
      <c r="H8">
        <v>69.479692400903602</v>
      </c>
      <c r="I8">
        <v>299</v>
      </c>
      <c r="J8">
        <v>66.6666666666666</v>
      </c>
      <c r="K8">
        <v>10</v>
      </c>
      <c r="L8" s="2" t="b">
        <v>1</v>
      </c>
      <c r="M8" s="2">
        <v>50.8</v>
      </c>
      <c r="N8" s="2" t="s">
        <v>100</v>
      </c>
      <c r="O8" t="b">
        <v>1</v>
      </c>
      <c r="P8" s="2" t="s">
        <v>100</v>
      </c>
      <c r="Q8">
        <v>71.154811864450707</v>
      </c>
      <c r="R8" t="b">
        <v>0</v>
      </c>
      <c r="S8">
        <v>41.8032786885245</v>
      </c>
      <c r="T8" s="2">
        <v>0</v>
      </c>
      <c r="U8" s="2" t="s">
        <v>100</v>
      </c>
      <c r="V8" t="b">
        <v>1</v>
      </c>
      <c r="W8" t="b">
        <v>1</v>
      </c>
      <c r="X8">
        <v>54.145728643216103</v>
      </c>
    </row>
    <row r="9" spans="1:24" x14ac:dyDescent="0.35">
      <c r="A9" s="1" t="s">
        <v>8</v>
      </c>
      <c r="C9" s="2" t="s">
        <v>0</v>
      </c>
      <c r="D9" s="3">
        <v>44651</v>
      </c>
      <c r="E9">
        <v>89.173246291150207</v>
      </c>
      <c r="F9">
        <v>60.413247271530601</v>
      </c>
      <c r="G9">
        <v>86.680305305305296</v>
      </c>
      <c r="H9" s="2">
        <v>76.685553989507099</v>
      </c>
      <c r="I9" s="2">
        <v>290.60000000000002</v>
      </c>
      <c r="J9">
        <v>80</v>
      </c>
      <c r="K9">
        <v>10</v>
      </c>
      <c r="L9" s="2" t="b">
        <v>1</v>
      </c>
      <c r="M9" s="2">
        <v>63.6</v>
      </c>
      <c r="N9" s="2" t="s">
        <v>100</v>
      </c>
      <c r="O9" s="2" t="b">
        <v>1</v>
      </c>
      <c r="P9" s="2" t="s">
        <v>100</v>
      </c>
      <c r="Q9">
        <v>73.521960578472303</v>
      </c>
      <c r="R9" t="b">
        <v>0</v>
      </c>
      <c r="S9" s="2">
        <v>42.9166666666666</v>
      </c>
      <c r="T9" s="2">
        <v>0</v>
      </c>
      <c r="U9" s="2" t="s">
        <v>100</v>
      </c>
      <c r="V9" t="b">
        <v>1</v>
      </c>
      <c r="W9" t="b">
        <v>1</v>
      </c>
      <c r="X9">
        <v>55.236907730673302</v>
      </c>
    </row>
    <row r="10" spans="1:24" x14ac:dyDescent="0.35">
      <c r="A10" s="1" t="s">
        <v>9</v>
      </c>
      <c r="C10" s="2" t="s">
        <v>0</v>
      </c>
      <c r="D10" s="3">
        <v>44286</v>
      </c>
      <c r="E10">
        <v>86.215572403790105</v>
      </c>
      <c r="F10">
        <v>63.334823903649003</v>
      </c>
      <c r="G10">
        <v>88.649312538381096</v>
      </c>
      <c r="H10">
        <v>78.340441450953094</v>
      </c>
      <c r="I10">
        <v>377</v>
      </c>
      <c r="J10">
        <v>70</v>
      </c>
      <c r="K10">
        <v>8</v>
      </c>
      <c r="L10" s="2" t="b">
        <v>1</v>
      </c>
      <c r="M10" s="2">
        <v>45.4</v>
      </c>
      <c r="N10" s="2" t="s">
        <v>100</v>
      </c>
      <c r="O10" t="b">
        <v>1</v>
      </c>
      <c r="P10" s="2" t="s">
        <v>100</v>
      </c>
      <c r="Q10">
        <v>75.621147307915805</v>
      </c>
      <c r="R10" t="b">
        <v>0</v>
      </c>
      <c r="S10" s="2">
        <v>43.809523809523803</v>
      </c>
      <c r="T10" s="2">
        <v>0</v>
      </c>
      <c r="U10" s="2" t="s">
        <v>100</v>
      </c>
      <c r="V10" t="b">
        <v>1</v>
      </c>
      <c r="W10" t="b">
        <v>1</v>
      </c>
      <c r="X10">
        <v>57.123287671232802</v>
      </c>
    </row>
    <row r="11" spans="1:24" x14ac:dyDescent="0.35">
      <c r="A11" s="1" t="s">
        <v>10</v>
      </c>
      <c r="C11" s="2" t="s">
        <v>0</v>
      </c>
      <c r="D11" s="4">
        <v>43921</v>
      </c>
      <c r="E11" s="2">
        <v>81.535600478331702</v>
      </c>
      <c r="F11" s="2">
        <v>65.789513349437499</v>
      </c>
      <c r="G11" s="2">
        <v>77.386650386650302</v>
      </c>
      <c r="H11" s="2">
        <v>73.400325193112593</v>
      </c>
      <c r="I11">
        <v>603.70000000000005</v>
      </c>
      <c r="J11">
        <v>70</v>
      </c>
      <c r="K11">
        <v>10</v>
      </c>
      <c r="L11" t="b">
        <v>1</v>
      </c>
      <c r="M11">
        <v>106.9</v>
      </c>
      <c r="N11" s="2" t="s">
        <v>100</v>
      </c>
      <c r="O11" t="b">
        <v>1</v>
      </c>
      <c r="P11" s="2" t="s">
        <v>100</v>
      </c>
      <c r="Q11">
        <v>78.200069035947806</v>
      </c>
      <c r="R11" s="2" t="b">
        <v>0</v>
      </c>
      <c r="S11" s="2">
        <v>43.7735849056603</v>
      </c>
      <c r="T11" s="2">
        <v>0</v>
      </c>
      <c r="U11" s="2" t="s">
        <v>100</v>
      </c>
      <c r="V11" t="b">
        <v>1</v>
      </c>
      <c r="W11" s="2" t="b">
        <v>1</v>
      </c>
      <c r="X11" s="2">
        <v>59.908536585365802</v>
      </c>
    </row>
    <row r="12" spans="1:24" x14ac:dyDescent="0.35">
      <c r="A12" s="1" t="s">
        <v>11</v>
      </c>
      <c r="C12" s="2" t="s">
        <v>0</v>
      </c>
      <c r="D12" s="3">
        <v>43555</v>
      </c>
      <c r="E12">
        <v>89.536931539719006</v>
      </c>
      <c r="F12">
        <v>65.392338238934499</v>
      </c>
      <c r="G12">
        <v>55.3403776199549</v>
      </c>
      <c r="H12">
        <v>63.5139298936638</v>
      </c>
      <c r="I12">
        <v>625.79999999999995</v>
      </c>
      <c r="J12">
        <v>66.6666666666666</v>
      </c>
      <c r="K12">
        <v>9</v>
      </c>
      <c r="L12" t="b">
        <v>1</v>
      </c>
      <c r="M12" s="2">
        <v>93.2</v>
      </c>
      <c r="N12" s="2" t="s">
        <v>100</v>
      </c>
      <c r="O12" t="b">
        <v>1</v>
      </c>
      <c r="P12" s="2" t="s">
        <v>100</v>
      </c>
      <c r="Q12">
        <v>80.269779293880703</v>
      </c>
      <c r="R12" s="2" t="s">
        <v>100</v>
      </c>
      <c r="S12" s="2">
        <v>45.238095238095198</v>
      </c>
      <c r="T12" s="2">
        <v>0</v>
      </c>
      <c r="U12" s="2" t="s">
        <v>100</v>
      </c>
      <c r="V12" t="b">
        <v>1</v>
      </c>
      <c r="W12" t="b">
        <v>1</v>
      </c>
      <c r="X12">
        <v>58.305084745762699</v>
      </c>
    </row>
    <row r="13" spans="1:24" x14ac:dyDescent="0.35">
      <c r="A13" s="1" t="s">
        <v>12</v>
      </c>
      <c r="C13" s="2" t="s">
        <v>0</v>
      </c>
      <c r="D13" s="3">
        <v>43190</v>
      </c>
      <c r="E13">
        <v>85.378386497266604</v>
      </c>
      <c r="F13">
        <v>77.727177493585103</v>
      </c>
      <c r="G13">
        <v>64.924538254569995</v>
      </c>
      <c r="H13">
        <v>72.352779522868104</v>
      </c>
      <c r="I13">
        <v>750.8</v>
      </c>
      <c r="J13">
        <v>66.6666666666666</v>
      </c>
      <c r="K13">
        <v>8</v>
      </c>
      <c r="L13" t="b">
        <v>1</v>
      </c>
      <c r="M13" s="2">
        <v>1159</v>
      </c>
      <c r="N13" s="2" t="s">
        <v>100</v>
      </c>
      <c r="O13" t="b">
        <v>1</v>
      </c>
      <c r="P13" s="2" t="s">
        <v>100</v>
      </c>
      <c r="Q13">
        <v>82.220517481419506</v>
      </c>
      <c r="R13" s="2" t="s">
        <v>100</v>
      </c>
      <c r="S13" s="2">
        <v>46.534653465346501</v>
      </c>
      <c r="T13" s="2">
        <v>0</v>
      </c>
      <c r="U13" s="2" t="s">
        <v>100</v>
      </c>
      <c r="V13" t="b">
        <v>1</v>
      </c>
      <c r="W13" t="b">
        <v>1</v>
      </c>
      <c r="X13">
        <v>59.677419354838698</v>
      </c>
    </row>
    <row r="14" spans="1:24" x14ac:dyDescent="0.35">
      <c r="A14" s="1" t="s">
        <v>13</v>
      </c>
      <c r="C14" s="2" t="s">
        <v>0</v>
      </c>
      <c r="D14" s="3">
        <v>42825</v>
      </c>
      <c r="E14">
        <v>84.774725720310002</v>
      </c>
      <c r="F14">
        <v>74.741989873568798</v>
      </c>
      <c r="G14">
        <v>60.460428902381103</v>
      </c>
      <c r="H14">
        <v>68.9990935559007</v>
      </c>
      <c r="I14">
        <v>959.8</v>
      </c>
      <c r="J14">
        <v>66.6666666666666</v>
      </c>
      <c r="K14">
        <v>9</v>
      </c>
      <c r="L14" t="b">
        <v>1</v>
      </c>
      <c r="M14" s="2">
        <v>1370</v>
      </c>
      <c r="N14" s="2" t="s">
        <v>100</v>
      </c>
      <c r="O14" t="b">
        <v>1</v>
      </c>
      <c r="P14" s="2" t="s">
        <v>100</v>
      </c>
      <c r="Q14">
        <v>85.960763534790999</v>
      </c>
      <c r="R14" s="2" t="s">
        <v>100</v>
      </c>
      <c r="S14" s="2">
        <v>45.454545454545404</v>
      </c>
      <c r="T14" s="2">
        <v>0</v>
      </c>
      <c r="U14" s="2" t="s">
        <v>100</v>
      </c>
      <c r="V14" t="b">
        <v>1</v>
      </c>
      <c r="W14" t="b">
        <v>1</v>
      </c>
      <c r="X14">
        <v>63.738738738738697</v>
      </c>
    </row>
    <row r="15" spans="1:24" x14ac:dyDescent="0.35">
      <c r="A15" s="1" t="s">
        <v>14</v>
      </c>
      <c r="C15" s="2" t="s">
        <v>0</v>
      </c>
      <c r="D15" s="3">
        <v>42460</v>
      </c>
      <c r="E15">
        <v>78.743672628040699</v>
      </c>
      <c r="F15">
        <v>73.567228126181305</v>
      </c>
      <c r="G15">
        <v>56.809212341999199</v>
      </c>
      <c r="H15">
        <v>66.030742500373606</v>
      </c>
      <c r="I15">
        <v>1106.5999999999999</v>
      </c>
      <c r="J15">
        <v>60</v>
      </c>
      <c r="K15">
        <v>8</v>
      </c>
      <c r="L15" s="2" t="b">
        <v>0</v>
      </c>
      <c r="M15" s="2" t="s">
        <v>100</v>
      </c>
      <c r="N15" s="2" t="s">
        <v>100</v>
      </c>
      <c r="O15" s="2" t="b">
        <v>1</v>
      </c>
      <c r="P15" s="2" t="s">
        <v>100</v>
      </c>
      <c r="Q15">
        <v>86.761782529177495</v>
      </c>
      <c r="R15" s="2" t="s">
        <v>100</v>
      </c>
      <c r="S15" s="2">
        <v>48.571428571428498</v>
      </c>
      <c r="T15" s="2">
        <v>0</v>
      </c>
      <c r="U15" s="2" t="s">
        <v>100</v>
      </c>
      <c r="V15" t="b">
        <v>1</v>
      </c>
      <c r="W15" t="b">
        <v>1</v>
      </c>
      <c r="X15">
        <v>63.315217391304301</v>
      </c>
    </row>
    <row r="16" spans="1:24" x14ac:dyDescent="0.35">
      <c r="A16" s="1" t="s">
        <v>15</v>
      </c>
      <c r="C16" s="2" t="s">
        <v>1</v>
      </c>
      <c r="D16" s="3">
        <v>45747</v>
      </c>
      <c r="E16">
        <v>91.848845232840802</v>
      </c>
      <c r="F16">
        <v>91.612887626985795</v>
      </c>
      <c r="G16">
        <v>75.253030579921997</v>
      </c>
      <c r="H16">
        <v>86.433597517429504</v>
      </c>
      <c r="I16">
        <v>23103</v>
      </c>
      <c r="J16">
        <v>81.818181818181799</v>
      </c>
      <c r="K16">
        <v>10</v>
      </c>
      <c r="L16" s="2" t="b">
        <v>1</v>
      </c>
      <c r="M16" s="2">
        <v>25013</v>
      </c>
      <c r="N16" s="2" t="s">
        <v>100</v>
      </c>
      <c r="O16" s="2" t="b">
        <v>1</v>
      </c>
      <c r="P16" s="2">
        <v>8344.7999999999993</v>
      </c>
      <c r="Q16">
        <v>69.909916611739803</v>
      </c>
      <c r="R16" t="b">
        <v>0</v>
      </c>
      <c r="S16">
        <v>86.352357320099202</v>
      </c>
      <c r="T16" s="2" t="s">
        <v>100</v>
      </c>
      <c r="U16" s="2" t="s">
        <v>100</v>
      </c>
      <c r="V16" t="b">
        <v>0</v>
      </c>
      <c r="W16" t="b">
        <v>1</v>
      </c>
      <c r="X16">
        <v>51.913875598086101</v>
      </c>
    </row>
    <row r="17" spans="1:24" x14ac:dyDescent="0.35">
      <c r="A17" s="1" t="s">
        <v>16</v>
      </c>
      <c r="C17" s="2" t="s">
        <v>1</v>
      </c>
      <c r="D17" s="3">
        <v>45382</v>
      </c>
      <c r="E17">
        <v>91.871685163000194</v>
      </c>
      <c r="F17">
        <v>91.906737941936399</v>
      </c>
      <c r="G17">
        <v>68.839304991265706</v>
      </c>
      <c r="H17">
        <v>84.4657736938195</v>
      </c>
      <c r="I17">
        <v>23476</v>
      </c>
      <c r="J17">
        <v>83.3333333333333</v>
      </c>
      <c r="K17">
        <v>10</v>
      </c>
      <c r="L17" t="b">
        <v>1</v>
      </c>
      <c r="M17" s="2">
        <v>28448</v>
      </c>
      <c r="N17" s="2" t="s">
        <v>100</v>
      </c>
      <c r="O17" s="2" t="b">
        <v>1</v>
      </c>
      <c r="P17" s="2">
        <v>4551</v>
      </c>
      <c r="Q17">
        <v>70.2374273937494</v>
      </c>
      <c r="R17" t="b">
        <v>0</v>
      </c>
      <c r="S17" s="2">
        <v>87.834549878345499</v>
      </c>
      <c r="T17" s="2" t="s">
        <v>100</v>
      </c>
      <c r="U17" s="2" t="s">
        <v>100</v>
      </c>
      <c r="V17" t="b">
        <v>0</v>
      </c>
      <c r="W17" t="b">
        <v>1</v>
      </c>
      <c r="X17">
        <v>51.990632318501099</v>
      </c>
    </row>
    <row r="18" spans="1:24" x14ac:dyDescent="0.35">
      <c r="A18" s="1" t="s">
        <v>17</v>
      </c>
      <c r="C18" s="2" t="s">
        <v>1</v>
      </c>
      <c r="D18" s="3">
        <v>45016</v>
      </c>
      <c r="E18">
        <v>92.736536667594095</v>
      </c>
      <c r="F18">
        <v>90.816797206820297</v>
      </c>
      <c r="G18">
        <v>57.530433685652199</v>
      </c>
      <c r="H18">
        <v>80.819659197790202</v>
      </c>
      <c r="I18">
        <v>23748</v>
      </c>
      <c r="J18">
        <v>72.727272727272705</v>
      </c>
      <c r="K18">
        <v>10</v>
      </c>
      <c r="L18" t="b">
        <v>1</v>
      </c>
      <c r="M18" s="2">
        <v>29368</v>
      </c>
      <c r="N18" s="2" t="s">
        <v>100</v>
      </c>
      <c r="O18" s="2" t="b">
        <v>1</v>
      </c>
      <c r="P18" s="2">
        <v>5287.1</v>
      </c>
      <c r="Q18">
        <v>71.154811864450707</v>
      </c>
      <c r="R18" t="b">
        <v>0</v>
      </c>
      <c r="S18">
        <v>88.423645320196997</v>
      </c>
      <c r="T18" s="2" t="s">
        <v>100</v>
      </c>
      <c r="U18">
        <v>77</v>
      </c>
      <c r="V18" t="b">
        <v>0</v>
      </c>
      <c r="W18" t="b">
        <v>1</v>
      </c>
      <c r="X18">
        <v>52.132701421800903</v>
      </c>
    </row>
    <row r="19" spans="1:24" x14ac:dyDescent="0.35">
      <c r="A19" s="1" t="s">
        <v>18</v>
      </c>
      <c r="C19" s="2" t="s">
        <v>1</v>
      </c>
      <c r="D19" s="3">
        <v>44651</v>
      </c>
      <c r="E19">
        <v>94.218286618116807</v>
      </c>
      <c r="F19">
        <v>77.137042742091595</v>
      </c>
      <c r="G19">
        <v>72.041823073073104</v>
      </c>
      <c r="H19">
        <v>81.913289027497498</v>
      </c>
      <c r="I19">
        <v>25489</v>
      </c>
      <c r="J19">
        <v>63.636363636363598</v>
      </c>
      <c r="K19">
        <v>9</v>
      </c>
      <c r="L19" t="b">
        <v>1</v>
      </c>
      <c r="M19" s="2">
        <v>24245</v>
      </c>
      <c r="N19" s="2" t="s">
        <v>100</v>
      </c>
      <c r="O19" s="2" t="b">
        <v>1</v>
      </c>
      <c r="P19" s="2">
        <v>6102</v>
      </c>
      <c r="Q19">
        <v>73.521960578472303</v>
      </c>
      <c r="R19" t="b">
        <v>0</v>
      </c>
      <c r="S19">
        <v>92.071611253196906</v>
      </c>
      <c r="T19" s="2" t="s">
        <v>100</v>
      </c>
      <c r="U19">
        <v>71</v>
      </c>
      <c r="V19" t="b">
        <v>0</v>
      </c>
      <c r="W19" t="b">
        <v>1</v>
      </c>
      <c r="X19">
        <v>54.146919431279599</v>
      </c>
    </row>
    <row r="20" spans="1:24" x14ac:dyDescent="0.35">
      <c r="A20" s="1" t="s">
        <v>19</v>
      </c>
      <c r="C20" s="2" t="s">
        <v>1</v>
      </c>
      <c r="D20" s="3">
        <v>44286</v>
      </c>
      <c r="E20">
        <v>94.871673191007105</v>
      </c>
      <c r="F20">
        <v>73.310978243118896</v>
      </c>
      <c r="G20">
        <v>81.965496442763097</v>
      </c>
      <c r="H20">
        <v>84.197488466718994</v>
      </c>
      <c r="I20">
        <v>25988</v>
      </c>
      <c r="J20">
        <v>70</v>
      </c>
      <c r="K20">
        <v>10</v>
      </c>
      <c r="L20" t="b">
        <v>1</v>
      </c>
      <c r="M20" s="2">
        <v>13340</v>
      </c>
      <c r="N20" s="2" t="s">
        <v>100</v>
      </c>
      <c r="O20" t="b">
        <v>1</v>
      </c>
      <c r="P20">
        <v>3821.4</v>
      </c>
      <c r="Q20">
        <v>75.621147307915805</v>
      </c>
      <c r="R20" s="2" t="s">
        <v>100</v>
      </c>
      <c r="S20" s="2">
        <v>93.266475644699099</v>
      </c>
      <c r="T20" s="2" t="s">
        <v>100</v>
      </c>
      <c r="U20" s="2">
        <v>76</v>
      </c>
      <c r="V20" t="b">
        <v>1</v>
      </c>
      <c r="W20" t="b">
        <v>1</v>
      </c>
      <c r="X20">
        <v>53.877005347593503</v>
      </c>
    </row>
    <row r="21" spans="1:24" x14ac:dyDescent="0.35">
      <c r="A21" s="1" t="s">
        <v>20</v>
      </c>
      <c r="C21" s="2" t="s">
        <v>1</v>
      </c>
      <c r="D21" s="3">
        <v>43921</v>
      </c>
      <c r="E21">
        <v>90.810342271171706</v>
      </c>
      <c r="F21">
        <v>77.198560423816502</v>
      </c>
      <c r="G21">
        <v>81.7830687830687</v>
      </c>
      <c r="H21">
        <v>83.788338049236899</v>
      </c>
      <c r="I21">
        <v>34540</v>
      </c>
      <c r="J21">
        <v>70</v>
      </c>
      <c r="K21">
        <v>10</v>
      </c>
      <c r="L21" t="b">
        <v>1</v>
      </c>
      <c r="M21">
        <v>36272</v>
      </c>
      <c r="N21" s="2" t="s">
        <v>100</v>
      </c>
      <c r="O21" t="b">
        <v>1</v>
      </c>
      <c r="P21">
        <v>11835.2</v>
      </c>
      <c r="Q21">
        <v>78.200069035947806</v>
      </c>
      <c r="R21" s="2" t="s">
        <v>100</v>
      </c>
      <c r="S21">
        <v>94.321766561514195</v>
      </c>
      <c r="T21" s="2" t="s">
        <v>100</v>
      </c>
      <c r="U21">
        <v>75</v>
      </c>
      <c r="V21" t="b">
        <v>1</v>
      </c>
      <c r="W21" t="b">
        <v>1</v>
      </c>
      <c r="X21">
        <v>56.179775280898802</v>
      </c>
    </row>
    <row r="22" spans="1:24" x14ac:dyDescent="0.35">
      <c r="A22" s="1" t="s">
        <v>21</v>
      </c>
      <c r="C22" s="2" t="s">
        <v>1</v>
      </c>
      <c r="D22" s="3">
        <v>43555</v>
      </c>
      <c r="E22">
        <v>94.9395335846948</v>
      </c>
      <c r="F22">
        <v>71.007179018991707</v>
      </c>
      <c r="G22">
        <v>78.327212887580103</v>
      </c>
      <c r="H22">
        <v>82.354943876135806</v>
      </c>
      <c r="I22">
        <v>42008</v>
      </c>
      <c r="J22">
        <v>58.3333333333333</v>
      </c>
      <c r="K22">
        <v>10</v>
      </c>
      <c r="L22" s="2" t="b">
        <v>1</v>
      </c>
      <c r="M22" s="2">
        <v>36725</v>
      </c>
      <c r="N22" s="2" t="s">
        <v>100</v>
      </c>
      <c r="O22" t="b">
        <v>1</v>
      </c>
      <c r="P22">
        <v>7659.3</v>
      </c>
      <c r="Q22">
        <v>80.269779293880703</v>
      </c>
      <c r="R22" s="2" t="s">
        <v>100</v>
      </c>
      <c r="S22" s="2">
        <v>94.822006472491907</v>
      </c>
      <c r="T22" s="2" t="s">
        <v>100</v>
      </c>
      <c r="U22" s="2" t="s">
        <v>100</v>
      </c>
      <c r="V22" t="b">
        <v>1</v>
      </c>
      <c r="W22" t="b">
        <v>1</v>
      </c>
      <c r="X22">
        <v>55.393586005830898</v>
      </c>
    </row>
    <row r="23" spans="1:24" x14ac:dyDescent="0.35">
      <c r="A23" s="1" t="s">
        <v>22</v>
      </c>
      <c r="C23" s="2" t="s">
        <v>1</v>
      </c>
      <c r="D23" s="3">
        <v>43190</v>
      </c>
      <c r="E23">
        <v>94.752756143532807</v>
      </c>
      <c r="F23">
        <v>68.983373338576897</v>
      </c>
      <c r="G23">
        <v>71.305182705845297</v>
      </c>
      <c r="H23">
        <v>79.411809966750496</v>
      </c>
      <c r="I23">
        <v>51375</v>
      </c>
      <c r="J23">
        <v>58.3333333333333</v>
      </c>
      <c r="K23">
        <v>11</v>
      </c>
      <c r="L23" s="2" t="b">
        <v>1</v>
      </c>
      <c r="M23" s="2">
        <v>35347</v>
      </c>
      <c r="N23" s="2" t="s">
        <v>100</v>
      </c>
      <c r="O23" t="b">
        <v>1</v>
      </c>
      <c r="P23">
        <v>7564.5</v>
      </c>
      <c r="Q23">
        <v>82.220517481419506</v>
      </c>
      <c r="R23" s="2" t="s">
        <v>100</v>
      </c>
      <c r="S23" s="2">
        <v>99.448529411764696</v>
      </c>
      <c r="T23" s="2" t="s">
        <v>100</v>
      </c>
      <c r="U23">
        <v>88</v>
      </c>
      <c r="V23" t="b">
        <v>1</v>
      </c>
      <c r="W23" t="b">
        <v>1</v>
      </c>
      <c r="X23">
        <v>57.305194805194802</v>
      </c>
    </row>
    <row r="24" spans="1:24" x14ac:dyDescent="0.35">
      <c r="A24" s="1" t="s">
        <v>23</v>
      </c>
      <c r="C24" s="2" t="s">
        <v>1</v>
      </c>
      <c r="D24" s="3">
        <v>42825</v>
      </c>
      <c r="E24">
        <v>94.435723007151495</v>
      </c>
      <c r="F24">
        <v>66.579484278156698</v>
      </c>
      <c r="G24">
        <v>81.914332877556603</v>
      </c>
      <c r="H24">
        <v>81.982137016941806</v>
      </c>
      <c r="I24">
        <v>63543</v>
      </c>
      <c r="J24">
        <v>70</v>
      </c>
      <c r="K24">
        <v>10</v>
      </c>
      <c r="L24" t="b">
        <v>1</v>
      </c>
      <c r="M24" s="2">
        <v>34971</v>
      </c>
      <c r="N24" s="2" t="s">
        <v>100</v>
      </c>
      <c r="O24" t="b">
        <v>1</v>
      </c>
      <c r="P24" s="2" t="s">
        <v>100</v>
      </c>
      <c r="Q24">
        <v>85.960763534790999</v>
      </c>
      <c r="R24" s="2" t="s">
        <v>100</v>
      </c>
      <c r="S24" s="2">
        <v>98.971193415637799</v>
      </c>
      <c r="T24" s="2">
        <v>2.6</v>
      </c>
      <c r="U24">
        <v>86</v>
      </c>
      <c r="V24" t="b">
        <v>1</v>
      </c>
      <c r="W24" t="b">
        <v>1</v>
      </c>
      <c r="X24">
        <v>58.510638297872298</v>
      </c>
    </row>
    <row r="25" spans="1:24" x14ac:dyDescent="0.35">
      <c r="A25" s="1" t="s">
        <v>24</v>
      </c>
      <c r="C25" s="2" t="s">
        <v>1</v>
      </c>
      <c r="D25" s="3">
        <v>42460</v>
      </c>
      <c r="E25">
        <v>92.181209781209702</v>
      </c>
      <c r="F25">
        <v>94.950265791067494</v>
      </c>
      <c r="G25">
        <v>83.358033890820707</v>
      </c>
      <c r="H25">
        <v>90.177272044887602</v>
      </c>
      <c r="I25">
        <v>69336</v>
      </c>
      <c r="J25">
        <v>66.6666666666666</v>
      </c>
      <c r="K25">
        <v>9</v>
      </c>
      <c r="L25" t="b">
        <v>1</v>
      </c>
      <c r="M25" s="2">
        <v>35016</v>
      </c>
      <c r="N25" s="2" t="s">
        <v>100</v>
      </c>
      <c r="O25" t="b">
        <v>1</v>
      </c>
      <c r="P25" s="2" t="s">
        <v>100</v>
      </c>
      <c r="Q25">
        <v>86.761782529177495</v>
      </c>
      <c r="R25" s="2" t="s">
        <v>100</v>
      </c>
      <c r="S25">
        <v>98.744769874476901</v>
      </c>
      <c r="T25" s="2">
        <v>1.4</v>
      </c>
      <c r="U25" s="2">
        <v>88</v>
      </c>
      <c r="V25" t="b">
        <v>1</v>
      </c>
      <c r="W25" t="b">
        <v>1</v>
      </c>
      <c r="X25">
        <v>61.338289962825201</v>
      </c>
    </row>
    <row r="26" spans="1:24" x14ac:dyDescent="0.35">
      <c r="A26" s="1" t="s">
        <v>25</v>
      </c>
      <c r="C26" s="2" t="s">
        <v>2</v>
      </c>
      <c r="D26" s="3">
        <v>46022</v>
      </c>
      <c r="E26">
        <v>67.492004264392307</v>
      </c>
      <c r="F26">
        <v>77.727183107224505</v>
      </c>
      <c r="G26">
        <v>61.828018396686097</v>
      </c>
      <c r="H26">
        <v>69.981880528691306</v>
      </c>
      <c r="I26">
        <v>293137</v>
      </c>
      <c r="J26">
        <v>75</v>
      </c>
      <c r="K26">
        <v>11</v>
      </c>
      <c r="L26" t="b">
        <v>1</v>
      </c>
      <c r="M26" s="2" t="s">
        <v>100</v>
      </c>
      <c r="N26" s="2" t="s">
        <v>100</v>
      </c>
      <c r="O26" t="b">
        <v>1</v>
      </c>
      <c r="P26">
        <v>16000.258</v>
      </c>
      <c r="Q26">
        <v>69.909916611739803</v>
      </c>
      <c r="R26" t="b">
        <v>0</v>
      </c>
      <c r="S26">
        <v>92.105263157894697</v>
      </c>
      <c r="T26" s="2">
        <v>2.8</v>
      </c>
      <c r="U26" s="2" t="s">
        <v>100</v>
      </c>
      <c r="V26" t="b">
        <v>1</v>
      </c>
      <c r="W26" t="b">
        <v>1</v>
      </c>
      <c r="X26">
        <v>51.6927083333333</v>
      </c>
    </row>
    <row r="27" spans="1:24" x14ac:dyDescent="0.35">
      <c r="A27" s="1" t="s">
        <v>26</v>
      </c>
      <c r="C27" s="2" t="s">
        <v>2</v>
      </c>
      <c r="D27" s="3">
        <v>45657</v>
      </c>
      <c r="E27">
        <v>67.629237885466694</v>
      </c>
      <c r="F27">
        <v>80.506952931521397</v>
      </c>
      <c r="G27">
        <v>74.486488122108995</v>
      </c>
      <c r="H27">
        <v>75.457930988429695</v>
      </c>
      <c r="I27">
        <v>316558</v>
      </c>
      <c r="J27">
        <v>70</v>
      </c>
      <c r="K27">
        <v>10</v>
      </c>
      <c r="L27" s="2" t="b">
        <v>1</v>
      </c>
      <c r="M27" s="2" t="s">
        <v>100</v>
      </c>
      <c r="N27" s="2" t="s">
        <v>100</v>
      </c>
      <c r="O27" s="2" t="b">
        <v>1</v>
      </c>
      <c r="P27" s="2">
        <v>23864.03</v>
      </c>
      <c r="Q27">
        <v>70.2374273937494</v>
      </c>
      <c r="R27" t="b">
        <v>0</v>
      </c>
      <c r="S27" s="2">
        <v>96.184210526315695</v>
      </c>
      <c r="T27" s="2">
        <v>2.9</v>
      </c>
      <c r="U27" s="2" t="s">
        <v>100</v>
      </c>
      <c r="V27" t="b">
        <v>1</v>
      </c>
      <c r="W27" t="b">
        <v>1</v>
      </c>
      <c r="X27">
        <v>51.813471502590602</v>
      </c>
    </row>
    <row r="28" spans="1:24" x14ac:dyDescent="0.35">
      <c r="A28" s="1" t="s">
        <v>27</v>
      </c>
      <c r="C28" s="2" t="s">
        <v>2</v>
      </c>
      <c r="D28" s="3">
        <v>45291</v>
      </c>
      <c r="E28">
        <v>70.622614533320402</v>
      </c>
      <c r="F28">
        <v>81.368906677105201</v>
      </c>
      <c r="G28">
        <v>83.345948332567403</v>
      </c>
      <c r="H28">
        <v>79.506657960437806</v>
      </c>
      <c r="I28">
        <v>315620</v>
      </c>
      <c r="J28">
        <v>70</v>
      </c>
      <c r="K28">
        <v>9</v>
      </c>
      <c r="L28" t="b">
        <v>0</v>
      </c>
      <c r="M28" s="2" t="s">
        <v>100</v>
      </c>
      <c r="N28" s="2" t="s">
        <v>100</v>
      </c>
      <c r="O28" t="b">
        <v>1</v>
      </c>
      <c r="P28" s="2" t="s">
        <v>100</v>
      </c>
      <c r="Q28">
        <v>71.154811864450707</v>
      </c>
      <c r="R28" t="b">
        <v>0</v>
      </c>
      <c r="S28">
        <v>93.013698630136901</v>
      </c>
      <c r="T28">
        <v>3.1</v>
      </c>
      <c r="U28">
        <v>79</v>
      </c>
      <c r="V28" t="b">
        <v>1</v>
      </c>
      <c r="W28" t="b">
        <v>1</v>
      </c>
      <c r="X28">
        <v>52.910052910052897</v>
      </c>
    </row>
    <row r="29" spans="1:24" x14ac:dyDescent="0.35">
      <c r="A29" s="1" t="s">
        <v>28</v>
      </c>
      <c r="C29" s="2" t="s">
        <v>2</v>
      </c>
      <c r="D29" s="3">
        <v>44926</v>
      </c>
      <c r="E29">
        <v>74.319491225834696</v>
      </c>
      <c r="F29">
        <v>85.081188821768905</v>
      </c>
      <c r="G29">
        <v>72.296734234234194</v>
      </c>
      <c r="H29">
        <v>78.258099786612206</v>
      </c>
      <c r="I29">
        <v>216757</v>
      </c>
      <c r="J29">
        <v>66.6666666666666</v>
      </c>
      <c r="K29">
        <v>9</v>
      </c>
      <c r="L29" s="2" t="b">
        <v>0</v>
      </c>
      <c r="M29" s="2" t="s">
        <v>100</v>
      </c>
      <c r="N29" s="2" t="s">
        <v>100</v>
      </c>
      <c r="O29" t="b">
        <v>1</v>
      </c>
      <c r="P29" s="2" t="s">
        <v>100</v>
      </c>
      <c r="Q29">
        <v>73.521960578472303</v>
      </c>
      <c r="R29" t="b">
        <v>0</v>
      </c>
      <c r="S29">
        <v>93.989071038251296</v>
      </c>
      <c r="T29">
        <v>3.9</v>
      </c>
      <c r="U29" s="2" t="s">
        <v>100</v>
      </c>
      <c r="V29" t="b">
        <v>1</v>
      </c>
      <c r="W29" t="b">
        <v>1</v>
      </c>
      <c r="X29">
        <v>54.285714285714199</v>
      </c>
    </row>
    <row r="30" spans="1:24" x14ac:dyDescent="0.35">
      <c r="A30" s="1" t="s">
        <v>29</v>
      </c>
      <c r="C30" s="2" t="s">
        <v>2</v>
      </c>
      <c r="D30" s="3">
        <v>44561</v>
      </c>
      <c r="E30">
        <v>75.557464370299101</v>
      </c>
      <c r="F30">
        <v>85.657676587349101</v>
      </c>
      <c r="G30">
        <v>59.1776477702617</v>
      </c>
      <c r="H30">
        <v>74.390825978349</v>
      </c>
      <c r="I30">
        <v>200102</v>
      </c>
      <c r="J30">
        <v>60</v>
      </c>
      <c r="K30">
        <v>8</v>
      </c>
      <c r="L30" t="b">
        <v>0</v>
      </c>
      <c r="M30" s="2" t="s">
        <v>100</v>
      </c>
      <c r="N30" s="2" t="s">
        <v>100</v>
      </c>
      <c r="O30" t="b">
        <v>1</v>
      </c>
      <c r="P30" s="2" t="s">
        <v>100</v>
      </c>
      <c r="Q30">
        <v>75.621147307915805</v>
      </c>
      <c r="R30" t="b">
        <v>0</v>
      </c>
      <c r="S30">
        <v>93.693693693693604</v>
      </c>
      <c r="T30">
        <v>3.8</v>
      </c>
      <c r="U30">
        <v>80</v>
      </c>
      <c r="V30" t="b">
        <v>1</v>
      </c>
      <c r="W30" t="b">
        <v>1</v>
      </c>
      <c r="X30">
        <v>55.182072829131599</v>
      </c>
    </row>
    <row r="31" spans="1:24" x14ac:dyDescent="0.35">
      <c r="A31" s="1" t="s">
        <v>30</v>
      </c>
      <c r="C31" s="2" t="s">
        <v>2</v>
      </c>
      <c r="D31" s="3">
        <v>44196</v>
      </c>
      <c r="E31">
        <v>70.524873579880804</v>
      </c>
      <c r="F31">
        <v>73.8415589224184</v>
      </c>
      <c r="G31">
        <v>48.754171754171701</v>
      </c>
      <c r="H31">
        <v>64.637021527933101</v>
      </c>
      <c r="I31">
        <v>186320</v>
      </c>
      <c r="J31">
        <v>40</v>
      </c>
      <c r="K31">
        <v>9</v>
      </c>
      <c r="L31" t="b">
        <v>0</v>
      </c>
      <c r="M31" s="2" t="s">
        <v>100</v>
      </c>
      <c r="N31" s="2" t="s">
        <v>100</v>
      </c>
      <c r="O31" t="b">
        <v>1</v>
      </c>
      <c r="P31" s="2" t="s">
        <v>100</v>
      </c>
      <c r="Q31">
        <v>78.200069035947806</v>
      </c>
      <c r="R31" t="b">
        <v>0</v>
      </c>
      <c r="S31">
        <v>93.389830508474503</v>
      </c>
      <c r="T31">
        <v>3.9</v>
      </c>
      <c r="U31" s="2" t="s">
        <v>100</v>
      </c>
      <c r="V31" t="b">
        <v>1</v>
      </c>
      <c r="W31" t="b">
        <v>1</v>
      </c>
      <c r="X31">
        <v>56.9444444444444</v>
      </c>
    </row>
    <row r="32" spans="1:24" x14ac:dyDescent="0.35">
      <c r="A32" s="1" t="s">
        <v>31</v>
      </c>
      <c r="C32" s="2" t="s">
        <v>2</v>
      </c>
      <c r="D32" s="3">
        <v>43830</v>
      </c>
      <c r="E32">
        <v>72.095930763609701</v>
      </c>
      <c r="F32">
        <v>75.322168403423206</v>
      </c>
      <c r="G32">
        <v>57.7395923552168</v>
      </c>
      <c r="H32">
        <v>68.624184016681298</v>
      </c>
      <c r="I32">
        <v>193974</v>
      </c>
      <c r="J32">
        <v>54.545454545454497</v>
      </c>
      <c r="K32">
        <v>8</v>
      </c>
      <c r="L32" t="b">
        <v>0</v>
      </c>
      <c r="M32" s="2">
        <v>1899</v>
      </c>
      <c r="N32" s="2" t="s">
        <v>100</v>
      </c>
      <c r="O32" t="b">
        <v>1</v>
      </c>
      <c r="P32" s="2" t="s">
        <v>100</v>
      </c>
      <c r="Q32">
        <v>80.269779293880703</v>
      </c>
      <c r="R32" t="b">
        <v>0</v>
      </c>
      <c r="S32">
        <v>96.052631578947299</v>
      </c>
      <c r="T32" s="2">
        <v>5.3</v>
      </c>
      <c r="U32" s="2">
        <v>81</v>
      </c>
      <c r="V32" t="b">
        <v>1</v>
      </c>
      <c r="W32" t="b">
        <v>1</v>
      </c>
      <c r="X32">
        <v>56.818181818181799</v>
      </c>
    </row>
    <row r="33" spans="1:24" x14ac:dyDescent="0.35">
      <c r="A33" s="1" t="s">
        <v>32</v>
      </c>
      <c r="C33" s="2" t="s">
        <v>2</v>
      </c>
      <c r="D33" s="3">
        <v>43465</v>
      </c>
      <c r="E33">
        <v>67.548503325942306</v>
      </c>
      <c r="F33">
        <v>76.340836642239694</v>
      </c>
      <c r="G33">
        <v>57.0498385266649</v>
      </c>
      <c r="H33">
        <v>67.751064177450402</v>
      </c>
      <c r="I33">
        <v>176691</v>
      </c>
      <c r="J33">
        <v>60</v>
      </c>
      <c r="K33">
        <v>10</v>
      </c>
      <c r="L33" s="2" t="b">
        <v>0</v>
      </c>
      <c r="M33" s="2">
        <v>1487</v>
      </c>
      <c r="N33" s="2" t="s">
        <v>100</v>
      </c>
      <c r="O33" s="2" t="b">
        <v>1</v>
      </c>
      <c r="P33" s="2" t="s">
        <v>100</v>
      </c>
      <c r="Q33">
        <v>82.220517481419506</v>
      </c>
      <c r="R33" t="b">
        <v>0</v>
      </c>
      <c r="S33" s="2">
        <v>96.320346320346303</v>
      </c>
      <c r="T33" s="2">
        <v>6.3</v>
      </c>
      <c r="U33" s="2" t="s">
        <v>100</v>
      </c>
      <c r="V33" t="b">
        <v>1</v>
      </c>
      <c r="W33" t="b">
        <v>1</v>
      </c>
      <c r="X33">
        <v>57.968127490039798</v>
      </c>
    </row>
    <row r="34" spans="1:24" x14ac:dyDescent="0.35">
      <c r="A34" s="1" t="s">
        <v>33</v>
      </c>
      <c r="C34" s="2" t="s">
        <v>2</v>
      </c>
      <c r="D34" s="3">
        <v>43100</v>
      </c>
      <c r="E34">
        <v>71.556481747628595</v>
      </c>
      <c r="F34">
        <v>82.210924322725504</v>
      </c>
      <c r="G34">
        <v>54.033363797162799</v>
      </c>
      <c r="H34">
        <v>70.088455595525801</v>
      </c>
      <c r="I34">
        <v>182258</v>
      </c>
      <c r="J34">
        <v>63.636363636363598</v>
      </c>
      <c r="K34">
        <v>9</v>
      </c>
      <c r="L34" t="b">
        <v>0</v>
      </c>
      <c r="M34" s="2">
        <v>1685.152</v>
      </c>
      <c r="N34" s="2" t="s">
        <v>100</v>
      </c>
      <c r="O34" s="2" t="b">
        <v>1</v>
      </c>
      <c r="P34" s="2" t="s">
        <v>100</v>
      </c>
      <c r="Q34">
        <v>85.960763534790999</v>
      </c>
      <c r="R34" s="2" t="s">
        <v>100</v>
      </c>
      <c r="S34">
        <v>97.193877551020407</v>
      </c>
      <c r="T34" s="2">
        <v>5.8</v>
      </c>
      <c r="U34" s="2">
        <v>77</v>
      </c>
      <c r="V34" t="b">
        <v>1</v>
      </c>
      <c r="W34" t="b">
        <v>1</v>
      </c>
      <c r="X34">
        <v>60.360360360360303</v>
      </c>
    </row>
    <row r="35" spans="1:24" x14ac:dyDescent="0.35">
      <c r="A35" s="1" t="s">
        <v>34</v>
      </c>
      <c r="C35" s="2" t="s">
        <v>2</v>
      </c>
      <c r="D35" s="3">
        <v>42735</v>
      </c>
      <c r="E35">
        <v>59.3092017590618</v>
      </c>
      <c r="F35">
        <v>70.598735378320796</v>
      </c>
      <c r="G35">
        <v>44.218827620466897</v>
      </c>
      <c r="H35">
        <v>59.0859282282455</v>
      </c>
      <c r="I35">
        <v>163806</v>
      </c>
      <c r="J35">
        <v>60</v>
      </c>
      <c r="K35">
        <v>9</v>
      </c>
      <c r="L35" t="b">
        <v>0</v>
      </c>
      <c r="M35" s="2" t="s">
        <v>100</v>
      </c>
      <c r="N35" s="2" t="s">
        <v>100</v>
      </c>
      <c r="O35" t="b">
        <v>1</v>
      </c>
      <c r="P35" s="2" t="s">
        <v>100</v>
      </c>
      <c r="Q35">
        <v>86.761782529177495</v>
      </c>
      <c r="R35" s="2" t="s">
        <v>100</v>
      </c>
      <c r="S35">
        <v>97.486033519553104</v>
      </c>
      <c r="T35" s="2">
        <v>6.3</v>
      </c>
      <c r="U35" s="2" t="s">
        <v>100</v>
      </c>
      <c r="V35" t="b">
        <v>1</v>
      </c>
      <c r="W35" t="b">
        <v>1</v>
      </c>
      <c r="X35">
        <v>59.701492537313399</v>
      </c>
    </row>
    <row r="36" spans="1:24" x14ac:dyDescent="0.35">
      <c r="A36" s="1" t="s">
        <v>35</v>
      </c>
      <c r="C36" s="2" t="s">
        <v>3</v>
      </c>
      <c r="D36" s="3">
        <v>46022</v>
      </c>
      <c r="E36">
        <v>9.0277777777777608</v>
      </c>
      <c r="F36">
        <v>66.019651173286704</v>
      </c>
      <c r="G36">
        <v>12.544225800039699</v>
      </c>
      <c r="H36" s="2">
        <v>32.560384670642598</v>
      </c>
      <c r="I36" s="2" t="s">
        <v>100</v>
      </c>
      <c r="J36">
        <v>87.5</v>
      </c>
      <c r="K36">
        <v>6</v>
      </c>
      <c r="L36" t="b">
        <v>0</v>
      </c>
      <c r="M36" s="2" t="s">
        <v>100</v>
      </c>
      <c r="N36" s="2" t="s">
        <v>100</v>
      </c>
      <c r="O36" s="2" t="s">
        <v>100</v>
      </c>
      <c r="P36" s="2" t="s">
        <v>100</v>
      </c>
      <c r="Q36">
        <v>69.909916611739803</v>
      </c>
      <c r="R36" t="b">
        <v>0</v>
      </c>
      <c r="S36">
        <v>50</v>
      </c>
      <c r="T36" s="2" t="s">
        <v>100</v>
      </c>
      <c r="U36" s="2" t="s">
        <v>100</v>
      </c>
      <c r="V36" t="b">
        <v>1</v>
      </c>
      <c r="W36" t="b">
        <v>1</v>
      </c>
      <c r="X36">
        <v>57.803468208092397</v>
      </c>
    </row>
    <row r="37" spans="1:24" x14ac:dyDescent="0.35">
      <c r="A37" s="1" t="s">
        <v>36</v>
      </c>
      <c r="C37" s="2" t="s">
        <v>3</v>
      </c>
      <c r="D37" s="3">
        <v>45657</v>
      </c>
      <c r="E37">
        <v>9.8360655737704796</v>
      </c>
      <c r="F37">
        <v>60.169990192873499</v>
      </c>
      <c r="G37">
        <v>19.9677627337201</v>
      </c>
      <c r="H37" s="2">
        <v>34.243278935179198</v>
      </c>
      <c r="I37" s="2" t="s">
        <v>100</v>
      </c>
      <c r="J37">
        <v>77.7777777777777</v>
      </c>
      <c r="K37">
        <v>6</v>
      </c>
      <c r="L37" s="2" t="b">
        <v>0</v>
      </c>
      <c r="M37" s="2" t="s">
        <v>100</v>
      </c>
      <c r="N37" s="2" t="s">
        <v>100</v>
      </c>
      <c r="O37" s="2" t="s">
        <v>100</v>
      </c>
      <c r="P37" s="2" t="s">
        <v>100</v>
      </c>
      <c r="Q37">
        <v>70.2374273937494</v>
      </c>
      <c r="R37" t="b">
        <v>0</v>
      </c>
      <c r="S37" s="2">
        <v>50</v>
      </c>
      <c r="T37" s="2" t="s">
        <v>100</v>
      </c>
      <c r="U37" s="2" t="s">
        <v>100</v>
      </c>
      <c r="V37" t="b">
        <v>1</v>
      </c>
      <c r="W37" t="b">
        <v>1</v>
      </c>
      <c r="X37">
        <v>54.347826086956502</v>
      </c>
    </row>
    <row r="38" spans="1:24" x14ac:dyDescent="0.35">
      <c r="A38" s="1" t="s">
        <v>37</v>
      </c>
      <c r="C38" s="2" t="s">
        <v>3</v>
      </c>
      <c r="D38" s="3">
        <v>45291</v>
      </c>
      <c r="E38">
        <v>11.2068965517241</v>
      </c>
      <c r="F38">
        <v>61.951875813564897</v>
      </c>
      <c r="G38">
        <v>27.696969696969699</v>
      </c>
      <c r="H38" s="2">
        <v>39.050149869686898</v>
      </c>
      <c r="I38" s="2" t="s">
        <v>100</v>
      </c>
      <c r="J38">
        <v>85.714285714285694</v>
      </c>
      <c r="K38">
        <v>7</v>
      </c>
      <c r="L38" t="b">
        <v>0</v>
      </c>
      <c r="M38" s="2" t="s">
        <v>100</v>
      </c>
      <c r="N38" s="2" t="s">
        <v>100</v>
      </c>
      <c r="O38" s="2" t="s">
        <v>100</v>
      </c>
      <c r="P38" s="2" t="s">
        <v>100</v>
      </c>
      <c r="Q38">
        <v>71.154811864450707</v>
      </c>
      <c r="R38" t="b">
        <v>0</v>
      </c>
      <c r="S38">
        <v>50</v>
      </c>
      <c r="T38" s="2" t="s">
        <v>100</v>
      </c>
      <c r="U38" s="2" t="s">
        <v>100</v>
      </c>
      <c r="V38" t="b">
        <v>1</v>
      </c>
      <c r="W38" t="b">
        <v>1</v>
      </c>
      <c r="X38">
        <v>55.092592592592503</v>
      </c>
    </row>
    <row r="39" spans="1:24" x14ac:dyDescent="0.35">
      <c r="A39" s="1" t="s">
        <v>38</v>
      </c>
      <c r="C39" s="2" t="s">
        <v>3</v>
      </c>
      <c r="D39" s="3">
        <v>44926</v>
      </c>
      <c r="E39">
        <v>11.1111111111111</v>
      </c>
      <c r="F39">
        <v>63.991662324127098</v>
      </c>
      <c r="G39">
        <v>22.364433811802201</v>
      </c>
      <c r="H39" s="2">
        <v>37.067304227029503</v>
      </c>
      <c r="I39" s="2" t="s">
        <v>100</v>
      </c>
      <c r="J39">
        <v>85.714285714285694</v>
      </c>
      <c r="K39">
        <v>7</v>
      </c>
      <c r="L39" t="b">
        <v>0</v>
      </c>
      <c r="M39" s="2" t="s">
        <v>100</v>
      </c>
      <c r="N39" s="2" t="s">
        <v>100</v>
      </c>
      <c r="O39" s="2" t="s">
        <v>100</v>
      </c>
      <c r="P39" s="2" t="s">
        <v>100</v>
      </c>
      <c r="Q39">
        <v>73.521960578472303</v>
      </c>
      <c r="R39" t="b">
        <v>0</v>
      </c>
      <c r="S39">
        <v>50</v>
      </c>
      <c r="T39" s="2" t="s">
        <v>100</v>
      </c>
      <c r="U39" s="2" t="s">
        <v>100</v>
      </c>
      <c r="V39" t="b">
        <v>1</v>
      </c>
      <c r="W39" t="b">
        <v>1</v>
      </c>
      <c r="X39">
        <v>54.950495049504902</v>
      </c>
    </row>
    <row r="40" spans="1:24" x14ac:dyDescent="0.35">
      <c r="A40" s="1" t="s">
        <v>39</v>
      </c>
      <c r="C40" s="2" t="s">
        <v>3</v>
      </c>
      <c r="D40" s="3">
        <v>44561</v>
      </c>
      <c r="E40">
        <v>11.7886178861788</v>
      </c>
      <c r="F40">
        <v>65.858638087597598</v>
      </c>
      <c r="G40">
        <v>33.3480392156862</v>
      </c>
      <c r="H40" s="2">
        <v>43.513570683027098</v>
      </c>
      <c r="I40" s="2" t="s">
        <v>100</v>
      </c>
      <c r="J40">
        <v>88.8888888888888</v>
      </c>
      <c r="K40">
        <v>7</v>
      </c>
      <c r="L40" t="b">
        <v>0</v>
      </c>
      <c r="M40" s="2" t="s">
        <v>100</v>
      </c>
      <c r="N40" s="2" t="s">
        <v>100</v>
      </c>
      <c r="O40" s="2" t="s">
        <v>100</v>
      </c>
      <c r="P40" s="2" t="s">
        <v>100</v>
      </c>
      <c r="Q40">
        <v>75.621147307915805</v>
      </c>
      <c r="R40" s="2" t="s">
        <v>100</v>
      </c>
      <c r="S40">
        <v>50</v>
      </c>
      <c r="T40" s="2" t="s">
        <v>100</v>
      </c>
      <c r="U40" s="2" t="s">
        <v>100</v>
      </c>
      <c r="V40" t="b">
        <v>1</v>
      </c>
      <c r="W40" t="b">
        <v>1</v>
      </c>
      <c r="X40">
        <v>57.692307692307601</v>
      </c>
    </row>
    <row r="41" spans="1:24" x14ac:dyDescent="0.35">
      <c r="A41" s="1" t="s">
        <v>40</v>
      </c>
      <c r="C41" s="2" t="s">
        <v>3</v>
      </c>
      <c r="D41" s="3">
        <v>44196</v>
      </c>
      <c r="E41">
        <v>12.2549019607843</v>
      </c>
      <c r="F41">
        <v>34.575755628387199</v>
      </c>
      <c r="G41">
        <v>36.095238095238102</v>
      </c>
      <c r="H41" s="2">
        <v>33.057005232970099</v>
      </c>
      <c r="I41" s="2" t="s">
        <v>100</v>
      </c>
      <c r="J41">
        <v>87.5</v>
      </c>
      <c r="K41">
        <v>7</v>
      </c>
      <c r="L41" t="b">
        <v>0</v>
      </c>
      <c r="M41" s="2" t="s">
        <v>100</v>
      </c>
      <c r="N41" s="2" t="s">
        <v>100</v>
      </c>
      <c r="O41" s="2" t="s">
        <v>100</v>
      </c>
      <c r="P41" s="2" t="s">
        <v>100</v>
      </c>
      <c r="Q41">
        <v>78.200069035947806</v>
      </c>
      <c r="R41" s="2" t="s">
        <v>100</v>
      </c>
      <c r="S41">
        <v>50</v>
      </c>
      <c r="T41" s="2" t="s">
        <v>100</v>
      </c>
      <c r="U41" s="2" t="s">
        <v>100</v>
      </c>
      <c r="V41" t="b">
        <v>0</v>
      </c>
      <c r="W41" t="b">
        <v>1</v>
      </c>
      <c r="X41">
        <v>61.1111111111111</v>
      </c>
    </row>
    <row r="42" spans="1:24" x14ac:dyDescent="0.35">
      <c r="A42" s="1" t="s">
        <v>41</v>
      </c>
      <c r="C42" s="2" t="s">
        <v>3</v>
      </c>
      <c r="D42" s="3">
        <v>43830</v>
      </c>
      <c r="E42">
        <v>0</v>
      </c>
      <c r="F42">
        <v>30.935214749201698</v>
      </c>
      <c r="G42">
        <v>45.862068965517203</v>
      </c>
      <c r="H42" s="2">
        <v>35.442853797813498</v>
      </c>
      <c r="I42" s="2" t="s">
        <v>100</v>
      </c>
      <c r="J42">
        <v>83.3333333333333</v>
      </c>
      <c r="K42">
        <v>6</v>
      </c>
      <c r="L42" t="b">
        <v>0</v>
      </c>
      <c r="M42" s="2" t="s">
        <v>100</v>
      </c>
      <c r="N42" s="2" t="s">
        <v>100</v>
      </c>
      <c r="O42" s="2" t="s">
        <v>100</v>
      </c>
      <c r="P42" s="2" t="s">
        <v>100</v>
      </c>
      <c r="Q42">
        <v>12.008762479708199</v>
      </c>
      <c r="R42" s="2" t="s">
        <v>100</v>
      </c>
      <c r="S42" s="2">
        <v>50</v>
      </c>
      <c r="T42" s="2" t="s">
        <v>100</v>
      </c>
      <c r="U42" s="2" t="s">
        <v>100</v>
      </c>
      <c r="V42" t="b">
        <v>0</v>
      </c>
      <c r="W42" t="b">
        <v>1</v>
      </c>
      <c r="X42">
        <v>62.328767123287598</v>
      </c>
    </row>
    <row r="43" spans="1:24" x14ac:dyDescent="0.35">
      <c r="A43" s="1" t="s">
        <v>42</v>
      </c>
      <c r="C43" s="2" t="s">
        <v>3</v>
      </c>
      <c r="D43" s="3">
        <v>43465</v>
      </c>
      <c r="E43">
        <v>0</v>
      </c>
      <c r="F43">
        <v>33.1901181525241</v>
      </c>
      <c r="G43">
        <v>29.2</v>
      </c>
      <c r="H43" s="2">
        <v>27.7085550552599</v>
      </c>
      <c r="I43" s="2" t="s">
        <v>100</v>
      </c>
      <c r="J43">
        <v>85.714285714285694</v>
      </c>
      <c r="K43">
        <v>6</v>
      </c>
      <c r="L43" t="b">
        <v>0</v>
      </c>
      <c r="M43" s="2" t="s">
        <v>100</v>
      </c>
      <c r="N43" s="2" t="s">
        <v>100</v>
      </c>
      <c r="O43" s="2" t="s">
        <v>100</v>
      </c>
      <c r="P43" s="2" t="s">
        <v>100</v>
      </c>
      <c r="Q43">
        <v>13.9549058403905</v>
      </c>
      <c r="R43" s="2" t="s">
        <v>100</v>
      </c>
      <c r="S43" s="2">
        <v>50</v>
      </c>
      <c r="T43" s="2" t="s">
        <v>100</v>
      </c>
      <c r="U43" s="2" t="s">
        <v>100</v>
      </c>
      <c r="V43" t="b">
        <v>0</v>
      </c>
      <c r="W43" t="b">
        <v>1</v>
      </c>
      <c r="X43">
        <v>61.1111111111111</v>
      </c>
    </row>
    <row r="44" spans="1:24" x14ac:dyDescent="0.35">
      <c r="A44" s="1" t="s">
        <v>43</v>
      </c>
      <c r="C44" s="2" t="s">
        <v>3</v>
      </c>
      <c r="D44" s="3">
        <v>43100</v>
      </c>
      <c r="E44">
        <v>0</v>
      </c>
      <c r="F44">
        <v>34.989747095010202</v>
      </c>
      <c r="G44">
        <v>3.1666666666666599</v>
      </c>
      <c r="H44" s="2">
        <v>14.9674394373534</v>
      </c>
      <c r="I44" s="2" t="s">
        <v>100</v>
      </c>
      <c r="J44">
        <v>80</v>
      </c>
      <c r="K44">
        <v>5</v>
      </c>
      <c r="L44" s="2" t="b">
        <v>0</v>
      </c>
      <c r="M44" s="2" t="s">
        <v>100</v>
      </c>
      <c r="N44" s="2" t="s">
        <v>100</v>
      </c>
      <c r="O44" s="2" t="s">
        <v>100</v>
      </c>
      <c r="P44" s="2" t="s">
        <v>100</v>
      </c>
      <c r="Q44">
        <v>17.695432117423302</v>
      </c>
      <c r="R44" s="2" t="s">
        <v>100</v>
      </c>
      <c r="S44">
        <v>50</v>
      </c>
      <c r="T44" s="2" t="s">
        <v>100</v>
      </c>
      <c r="U44" s="2" t="s">
        <v>100</v>
      </c>
      <c r="V44" t="b">
        <v>0</v>
      </c>
      <c r="W44" t="b">
        <v>1</v>
      </c>
      <c r="X44">
        <v>66.363636363636303</v>
      </c>
    </row>
    <row r="45" spans="1:24" x14ac:dyDescent="0.35">
      <c r="A45" s="1" t="s">
        <v>44</v>
      </c>
      <c r="C45" s="2" t="s">
        <v>3</v>
      </c>
      <c r="D45" s="3">
        <v>42735</v>
      </c>
      <c r="E45">
        <v>0</v>
      </c>
      <c r="F45">
        <v>35.023605525441504</v>
      </c>
      <c r="G45">
        <v>23.3333333333333</v>
      </c>
      <c r="H45" s="2">
        <v>25.381488638635201</v>
      </c>
      <c r="I45" s="2" t="s">
        <v>100</v>
      </c>
      <c r="J45">
        <v>80</v>
      </c>
      <c r="K45">
        <v>5</v>
      </c>
      <c r="L45" t="b">
        <v>0</v>
      </c>
      <c r="M45" s="2" t="s">
        <v>100</v>
      </c>
      <c r="N45" s="2" t="s">
        <v>100</v>
      </c>
      <c r="O45" s="2" t="s">
        <v>100</v>
      </c>
      <c r="P45" s="2" t="s">
        <v>100</v>
      </c>
      <c r="Q45">
        <v>18.497865737530599</v>
      </c>
      <c r="R45" s="2" t="s">
        <v>100</v>
      </c>
      <c r="S45">
        <v>50</v>
      </c>
      <c r="T45" s="2" t="s">
        <v>100</v>
      </c>
      <c r="U45" s="2" t="s">
        <v>100</v>
      </c>
      <c r="V45" t="b">
        <v>0</v>
      </c>
      <c r="W45" t="b">
        <v>1</v>
      </c>
      <c r="X45">
        <v>71.428571428571402</v>
      </c>
    </row>
    <row r="46" spans="1:24" x14ac:dyDescent="0.35">
      <c r="A46" s="1" t="s">
        <v>45</v>
      </c>
      <c r="C46" s="2" t="s">
        <v>4</v>
      </c>
      <c r="D46" s="3">
        <v>46022</v>
      </c>
      <c r="E46">
        <v>21.865407479463901</v>
      </c>
      <c r="F46">
        <v>47.655686994255603</v>
      </c>
      <c r="G46">
        <v>92.320263468588806</v>
      </c>
      <c r="H46">
        <v>62.082813648683398</v>
      </c>
      <c r="I46">
        <v>1403.1</v>
      </c>
      <c r="J46">
        <v>73.3333333333333</v>
      </c>
      <c r="K46">
        <v>12</v>
      </c>
      <c r="L46" t="b">
        <v>1</v>
      </c>
      <c r="M46" s="2" t="s">
        <v>100</v>
      </c>
      <c r="N46" s="2" t="s">
        <v>100</v>
      </c>
      <c r="O46" s="2" t="b">
        <v>1</v>
      </c>
      <c r="P46" s="2">
        <v>81000</v>
      </c>
      <c r="Q46">
        <v>69.909916611739803</v>
      </c>
      <c r="R46" t="b">
        <v>0</v>
      </c>
      <c r="S46" s="2">
        <v>31.3531353135313</v>
      </c>
      <c r="T46" s="2" t="s">
        <v>100</v>
      </c>
      <c r="U46">
        <v>82</v>
      </c>
      <c r="V46" t="b">
        <v>1</v>
      </c>
      <c r="W46" t="b">
        <v>1</v>
      </c>
      <c r="X46">
        <v>51.132686084142399</v>
      </c>
    </row>
    <row r="47" spans="1:24" x14ac:dyDescent="0.35">
      <c r="A47" s="1" t="s">
        <v>46</v>
      </c>
      <c r="C47" s="2" t="s">
        <v>4</v>
      </c>
      <c r="D47" s="3">
        <v>45657</v>
      </c>
      <c r="E47">
        <v>25.973807270500402</v>
      </c>
      <c r="F47">
        <v>45.4545423674369</v>
      </c>
      <c r="G47">
        <v>94.959220291982703</v>
      </c>
      <c r="H47">
        <v>62.658982190997101</v>
      </c>
      <c r="I47">
        <v>1956.7</v>
      </c>
      <c r="J47">
        <v>76.923076923076906</v>
      </c>
      <c r="K47">
        <v>12</v>
      </c>
      <c r="L47" t="b">
        <v>1</v>
      </c>
      <c r="M47" s="2">
        <v>123.2</v>
      </c>
      <c r="N47" s="2" t="s">
        <v>100</v>
      </c>
      <c r="O47" s="2" t="b">
        <v>1</v>
      </c>
      <c r="P47" s="2">
        <v>51000</v>
      </c>
      <c r="Q47">
        <v>70.2374273937494</v>
      </c>
      <c r="R47" t="b">
        <v>0</v>
      </c>
      <c r="S47">
        <v>31.395348837209301</v>
      </c>
      <c r="T47" s="2" t="s">
        <v>100</v>
      </c>
      <c r="U47" s="2">
        <v>82</v>
      </c>
      <c r="V47" t="b">
        <v>1</v>
      </c>
      <c r="W47" t="b">
        <v>1</v>
      </c>
      <c r="X47">
        <v>50.980392156862699</v>
      </c>
    </row>
    <row r="48" spans="1:24" x14ac:dyDescent="0.35">
      <c r="A48" s="1" t="s">
        <v>47</v>
      </c>
      <c r="C48" s="2" t="s">
        <v>4</v>
      </c>
      <c r="D48" s="3">
        <v>45291</v>
      </c>
      <c r="E48">
        <v>27.058181818181801</v>
      </c>
      <c r="F48">
        <v>45.193707964090798</v>
      </c>
      <c r="G48">
        <v>92.013640659024603</v>
      </c>
      <c r="H48">
        <v>61.503610889276501</v>
      </c>
      <c r="I48">
        <v>1899.8</v>
      </c>
      <c r="J48">
        <v>69.230769230769198</v>
      </c>
      <c r="K48">
        <v>12</v>
      </c>
      <c r="L48" s="2" t="b">
        <v>1</v>
      </c>
      <c r="M48" s="2">
        <v>84.6</v>
      </c>
      <c r="N48" s="2" t="s">
        <v>100</v>
      </c>
      <c r="O48" s="2" t="b">
        <v>1</v>
      </c>
      <c r="P48" s="2">
        <v>44000</v>
      </c>
      <c r="Q48">
        <v>71.154811864450707</v>
      </c>
      <c r="R48" t="b">
        <v>0</v>
      </c>
      <c r="S48" s="2">
        <v>33.163265306122398</v>
      </c>
      <c r="T48" s="2" t="s">
        <v>100</v>
      </c>
      <c r="U48" s="2">
        <v>82</v>
      </c>
      <c r="V48" t="b">
        <v>1</v>
      </c>
      <c r="W48" t="b">
        <v>1</v>
      </c>
      <c r="X48">
        <v>51.650165016501603</v>
      </c>
    </row>
    <row r="49" spans="1:24" x14ac:dyDescent="0.35">
      <c r="A49" s="1" t="s">
        <v>48</v>
      </c>
      <c r="C49" s="2" t="s">
        <v>4</v>
      </c>
      <c r="D49" s="3">
        <v>44926</v>
      </c>
      <c r="E49">
        <v>29.667273089058799</v>
      </c>
      <c r="F49">
        <v>46.8302768111852</v>
      </c>
      <c r="G49">
        <v>91.656565656565604</v>
      </c>
      <c r="H49">
        <v>62.4723918530539</v>
      </c>
      <c r="I49">
        <v>2152</v>
      </c>
      <c r="J49">
        <v>66.6666666666666</v>
      </c>
      <c r="K49">
        <v>11</v>
      </c>
      <c r="L49" t="b">
        <v>1</v>
      </c>
      <c r="M49" s="2">
        <v>141.19999999999999</v>
      </c>
      <c r="N49" s="2" t="s">
        <v>100</v>
      </c>
      <c r="O49" t="b">
        <v>1</v>
      </c>
      <c r="P49">
        <v>70000</v>
      </c>
      <c r="Q49">
        <v>73.521960578472303</v>
      </c>
      <c r="R49" t="b">
        <v>0</v>
      </c>
      <c r="S49" s="2">
        <v>32.8231292517006</v>
      </c>
      <c r="T49" s="2" t="s">
        <v>100</v>
      </c>
      <c r="U49" s="2">
        <v>82</v>
      </c>
      <c r="V49" t="b">
        <v>1</v>
      </c>
      <c r="W49" t="b">
        <v>1</v>
      </c>
      <c r="X49">
        <v>52.741935483870897</v>
      </c>
    </row>
    <row r="50" spans="1:24" x14ac:dyDescent="0.35">
      <c r="A50" s="1" t="s">
        <v>49</v>
      </c>
      <c r="C50" s="2" t="s">
        <v>4</v>
      </c>
      <c r="D50" s="3">
        <v>44561</v>
      </c>
      <c r="E50">
        <v>29.490117920611201</v>
      </c>
      <c r="F50">
        <v>38.492103834489903</v>
      </c>
      <c r="G50">
        <v>93.390825688073406</v>
      </c>
      <c r="H50">
        <v>59.251327787406197</v>
      </c>
      <c r="I50">
        <v>2181</v>
      </c>
      <c r="J50">
        <v>66.6666666666666</v>
      </c>
      <c r="K50">
        <v>11</v>
      </c>
      <c r="L50" t="b">
        <v>1</v>
      </c>
      <c r="M50" s="2">
        <v>34</v>
      </c>
      <c r="N50" s="2" t="s">
        <v>100</v>
      </c>
      <c r="O50" t="b">
        <v>1</v>
      </c>
      <c r="P50" s="2" t="s">
        <v>100</v>
      </c>
      <c r="Q50">
        <v>75.621147307915805</v>
      </c>
      <c r="R50" t="b">
        <v>0</v>
      </c>
      <c r="S50" s="2">
        <v>33.3333333333333</v>
      </c>
      <c r="T50" s="2" t="s">
        <v>100</v>
      </c>
      <c r="U50">
        <v>64</v>
      </c>
      <c r="V50" t="b">
        <v>1</v>
      </c>
      <c r="W50" t="b">
        <v>1</v>
      </c>
      <c r="X50">
        <v>54.266211604095503</v>
      </c>
    </row>
    <row r="51" spans="1:24" x14ac:dyDescent="0.35">
      <c r="A51" s="1" t="s">
        <v>50</v>
      </c>
      <c r="C51" s="2" t="s">
        <v>4</v>
      </c>
      <c r="D51" s="3">
        <v>44196</v>
      </c>
      <c r="E51">
        <v>24.054128211524102</v>
      </c>
      <c r="F51">
        <v>43.101747682235199</v>
      </c>
      <c r="G51">
        <v>83.458165875045694</v>
      </c>
      <c r="H51">
        <v>56.704632363264601</v>
      </c>
      <c r="I51">
        <v>2180</v>
      </c>
      <c r="J51">
        <v>63.636363636363598</v>
      </c>
      <c r="K51">
        <v>11</v>
      </c>
      <c r="L51" t="b">
        <v>1</v>
      </c>
      <c r="M51" s="2" t="s">
        <v>100</v>
      </c>
      <c r="N51" s="2" t="s">
        <v>100</v>
      </c>
      <c r="O51" t="b">
        <v>1</v>
      </c>
      <c r="P51" s="2" t="s">
        <v>100</v>
      </c>
      <c r="Q51">
        <v>78.200069035947806</v>
      </c>
      <c r="R51" t="b">
        <v>0</v>
      </c>
      <c r="S51" s="2">
        <v>73.516949152542296</v>
      </c>
      <c r="T51" s="2" t="s">
        <v>100</v>
      </c>
      <c r="U51">
        <v>68</v>
      </c>
      <c r="V51" t="b">
        <v>0</v>
      </c>
      <c r="W51" t="b">
        <v>1</v>
      </c>
      <c r="X51">
        <v>54.1015625</v>
      </c>
    </row>
    <row r="52" spans="1:24" x14ac:dyDescent="0.35">
      <c r="A52" s="1" t="s">
        <v>51</v>
      </c>
      <c r="C52" s="2" t="s">
        <v>4</v>
      </c>
      <c r="D52" s="3">
        <v>43830</v>
      </c>
      <c r="E52">
        <v>38.458199587297898</v>
      </c>
      <c r="F52">
        <v>40.215912122567303</v>
      </c>
      <c r="G52">
        <v>85.646956521739099</v>
      </c>
      <c r="H52">
        <v>55.924460014145502</v>
      </c>
      <c r="I52">
        <v>2375</v>
      </c>
      <c r="J52">
        <v>66.6666666666666</v>
      </c>
      <c r="K52">
        <v>11</v>
      </c>
      <c r="L52" t="b">
        <v>0</v>
      </c>
      <c r="M52" s="2" t="s">
        <v>100</v>
      </c>
      <c r="N52" s="2" t="s">
        <v>100</v>
      </c>
      <c r="O52" t="b">
        <v>1</v>
      </c>
      <c r="P52" s="2" t="s">
        <v>100</v>
      </c>
      <c r="Q52">
        <v>80.269779293880703</v>
      </c>
      <c r="R52" t="b">
        <v>0</v>
      </c>
      <c r="S52" s="2">
        <v>75.427350427350405</v>
      </c>
      <c r="T52" s="2" t="s">
        <v>100</v>
      </c>
      <c r="U52">
        <v>71</v>
      </c>
      <c r="V52" t="b">
        <v>0</v>
      </c>
      <c r="W52" t="b">
        <v>1</v>
      </c>
      <c r="X52">
        <v>52.459016393442603</v>
      </c>
    </row>
    <row r="53" spans="1:24" x14ac:dyDescent="0.35">
      <c r="A53" s="1" t="s">
        <v>52</v>
      </c>
      <c r="C53" s="2" t="s">
        <v>4</v>
      </c>
      <c r="D53" s="3">
        <v>43465</v>
      </c>
      <c r="E53">
        <v>36.921374657241898</v>
      </c>
      <c r="F53">
        <v>46.174633695538702</v>
      </c>
      <c r="G53">
        <v>83.067049350235195</v>
      </c>
      <c r="H53">
        <v>57.3781973824481</v>
      </c>
      <c r="I53">
        <v>2332</v>
      </c>
      <c r="J53">
        <v>66.6666666666666</v>
      </c>
      <c r="K53">
        <v>12</v>
      </c>
      <c r="L53" t="b">
        <v>0</v>
      </c>
      <c r="M53" s="2" t="s">
        <v>100</v>
      </c>
      <c r="N53" s="2" t="s">
        <v>100</v>
      </c>
      <c r="O53" s="2" t="b">
        <v>1</v>
      </c>
      <c r="P53" s="2" t="s">
        <v>100</v>
      </c>
      <c r="Q53">
        <v>82.220517481419506</v>
      </c>
      <c r="R53" t="b">
        <v>0</v>
      </c>
      <c r="S53">
        <v>77.033492822966494</v>
      </c>
      <c r="T53" s="2" t="s">
        <v>100</v>
      </c>
      <c r="U53">
        <v>74</v>
      </c>
      <c r="V53" t="b">
        <v>0</v>
      </c>
      <c r="W53" t="b">
        <v>1</v>
      </c>
      <c r="X53">
        <v>53.196347031963398</v>
      </c>
    </row>
    <row r="54" spans="1:24" x14ac:dyDescent="0.35">
      <c r="A54" s="1" t="s">
        <v>53</v>
      </c>
      <c r="C54" s="2" t="s">
        <v>4</v>
      </c>
      <c r="D54" s="3">
        <v>43100</v>
      </c>
      <c r="E54">
        <v>38.123896358705103</v>
      </c>
      <c r="F54">
        <v>43.6560958421423</v>
      </c>
      <c r="G54">
        <v>86.383190883190906</v>
      </c>
      <c r="H54">
        <v>57.534888656119101</v>
      </c>
      <c r="I54">
        <v>2631</v>
      </c>
      <c r="J54">
        <v>71.428571428571402</v>
      </c>
      <c r="K54">
        <v>12</v>
      </c>
      <c r="L54" t="b">
        <v>0</v>
      </c>
      <c r="M54" s="2" t="s">
        <v>100</v>
      </c>
      <c r="N54" s="2" t="s">
        <v>100</v>
      </c>
      <c r="O54" s="2" t="b">
        <v>0</v>
      </c>
      <c r="P54" s="2" t="s">
        <v>100</v>
      </c>
      <c r="Q54">
        <v>85.960763534790999</v>
      </c>
      <c r="R54" s="2" t="s">
        <v>100</v>
      </c>
      <c r="S54" s="2">
        <v>78.030303030303003</v>
      </c>
      <c r="T54" s="2" t="s">
        <v>100</v>
      </c>
      <c r="U54">
        <v>77</v>
      </c>
      <c r="V54" t="b">
        <v>0</v>
      </c>
      <c r="W54" t="b">
        <v>1</v>
      </c>
      <c r="X54">
        <v>54.883720930232499</v>
      </c>
    </row>
    <row r="55" spans="1:24" x14ac:dyDescent="0.35">
      <c r="A55" s="1" t="s">
        <v>54</v>
      </c>
      <c r="C55" s="2" t="s">
        <v>4</v>
      </c>
      <c r="D55" s="3">
        <v>42735</v>
      </c>
      <c r="E55">
        <v>41.4823239640683</v>
      </c>
      <c r="F55">
        <v>29.910461616781699</v>
      </c>
      <c r="G55">
        <v>84.237288135593204</v>
      </c>
      <c r="H55">
        <v>50.464895381284499</v>
      </c>
      <c r="I55">
        <v>2787</v>
      </c>
      <c r="J55">
        <v>63.636363636363598</v>
      </c>
      <c r="K55">
        <v>11</v>
      </c>
      <c r="L55" t="b">
        <v>0</v>
      </c>
      <c r="M55" s="2" t="s">
        <v>100</v>
      </c>
      <c r="N55" s="2" t="s">
        <v>100</v>
      </c>
      <c r="O55" t="b">
        <v>0</v>
      </c>
      <c r="P55" s="2" t="s">
        <v>100</v>
      </c>
      <c r="Q55">
        <v>18.497865737530599</v>
      </c>
      <c r="R55" s="2" t="s">
        <v>100</v>
      </c>
      <c r="S55" s="2">
        <v>38.031914893617</v>
      </c>
      <c r="T55" s="2" t="s">
        <v>100</v>
      </c>
      <c r="U55">
        <v>78</v>
      </c>
      <c r="V55" t="b">
        <v>0</v>
      </c>
      <c r="W55" t="b">
        <v>1</v>
      </c>
      <c r="X55">
        <v>55.097087378640701</v>
      </c>
    </row>
    <row r="56" spans="1:24" x14ac:dyDescent="0.35">
      <c r="A56" s="1" t="s">
        <v>55</v>
      </c>
      <c r="C56" s="2" t="s">
        <v>5</v>
      </c>
      <c r="D56" s="4">
        <v>46022</v>
      </c>
      <c r="E56" s="2" t="s">
        <v>100</v>
      </c>
      <c r="F56" s="2" t="s">
        <v>100</v>
      </c>
      <c r="G56" s="2" t="s">
        <v>100</v>
      </c>
      <c r="H56" s="2" t="s">
        <v>100</v>
      </c>
      <c r="I56">
        <v>4720203.0999999996</v>
      </c>
      <c r="J56">
        <v>69.230769230769198</v>
      </c>
      <c r="K56">
        <v>12</v>
      </c>
      <c r="L56" s="2" t="b">
        <v>1</v>
      </c>
      <c r="M56" s="2">
        <v>1061612.8</v>
      </c>
      <c r="N56" s="2">
        <v>16</v>
      </c>
      <c r="O56" s="2" t="b">
        <v>1</v>
      </c>
      <c r="P56" s="2">
        <v>92151</v>
      </c>
      <c r="Q56">
        <v>69.909916611739803</v>
      </c>
      <c r="R56" t="b">
        <v>0</v>
      </c>
      <c r="S56" s="2" t="s">
        <v>100</v>
      </c>
      <c r="T56" s="2">
        <v>2.2629000000000001</v>
      </c>
      <c r="U56" s="2" t="s">
        <v>100</v>
      </c>
      <c r="V56" t="b">
        <v>1</v>
      </c>
      <c r="W56" t="b">
        <v>1</v>
      </c>
      <c r="X56" s="2" t="s">
        <v>100</v>
      </c>
    </row>
    <row r="57" spans="1:24" x14ac:dyDescent="0.35">
      <c r="A57" s="1" t="s">
        <v>56</v>
      </c>
      <c r="C57" s="2" t="s">
        <v>5</v>
      </c>
      <c r="D57" s="4">
        <v>45657</v>
      </c>
      <c r="E57" s="2" t="s">
        <v>100</v>
      </c>
      <c r="F57" s="2" t="s">
        <v>100</v>
      </c>
      <c r="G57" s="2" t="s">
        <v>100</v>
      </c>
      <c r="H57" s="2" t="s">
        <v>100</v>
      </c>
      <c r="I57" s="2" t="s">
        <v>100</v>
      </c>
      <c r="J57" s="2" t="s">
        <v>100</v>
      </c>
      <c r="K57" s="2" t="s">
        <v>100</v>
      </c>
      <c r="L57" s="2" t="s">
        <v>100</v>
      </c>
      <c r="M57" s="2" t="s">
        <v>100</v>
      </c>
      <c r="N57" s="2" t="s">
        <v>100</v>
      </c>
      <c r="O57" s="2" t="s">
        <v>100</v>
      </c>
      <c r="P57" s="2" t="s">
        <v>100</v>
      </c>
      <c r="Q57" s="2" t="s">
        <v>100</v>
      </c>
      <c r="R57" s="2" t="s">
        <v>100</v>
      </c>
      <c r="S57" s="2" t="s">
        <v>100</v>
      </c>
      <c r="T57" s="2" t="s">
        <v>100</v>
      </c>
      <c r="U57" s="2" t="s">
        <v>100</v>
      </c>
      <c r="V57" s="2" t="s">
        <v>100</v>
      </c>
      <c r="W57" s="2" t="s">
        <v>100</v>
      </c>
      <c r="X57" s="2" t="s">
        <v>100</v>
      </c>
    </row>
    <row r="58" spans="1:24" x14ac:dyDescent="0.35">
      <c r="A58" s="1" t="s">
        <v>57</v>
      </c>
      <c r="C58" s="2" t="s">
        <v>5</v>
      </c>
      <c r="D58" s="4">
        <v>45291</v>
      </c>
      <c r="E58" s="2" t="s">
        <v>100</v>
      </c>
      <c r="F58" s="2" t="s">
        <v>100</v>
      </c>
      <c r="G58" s="2" t="s">
        <v>100</v>
      </c>
      <c r="H58" s="2" t="s">
        <v>100</v>
      </c>
      <c r="I58" s="2" t="s">
        <v>100</v>
      </c>
      <c r="J58" s="2" t="s">
        <v>100</v>
      </c>
      <c r="K58" s="2" t="s">
        <v>100</v>
      </c>
      <c r="L58" s="2" t="s">
        <v>100</v>
      </c>
      <c r="M58" s="2" t="s">
        <v>100</v>
      </c>
      <c r="N58" s="2" t="s">
        <v>100</v>
      </c>
      <c r="O58" s="2" t="s">
        <v>100</v>
      </c>
      <c r="P58" s="2" t="s">
        <v>100</v>
      </c>
      <c r="Q58" s="2" t="s">
        <v>100</v>
      </c>
      <c r="R58" s="2" t="s">
        <v>100</v>
      </c>
      <c r="S58" s="2" t="s">
        <v>100</v>
      </c>
      <c r="T58" s="2" t="s">
        <v>100</v>
      </c>
      <c r="U58" s="2" t="s">
        <v>100</v>
      </c>
      <c r="V58" s="2" t="s">
        <v>100</v>
      </c>
      <c r="W58" s="2" t="s">
        <v>100</v>
      </c>
      <c r="X58" s="2" t="s">
        <v>100</v>
      </c>
    </row>
    <row r="59" spans="1:24" x14ac:dyDescent="0.35">
      <c r="A59" s="1" t="s">
        <v>58</v>
      </c>
      <c r="C59" s="2" t="s">
        <v>5</v>
      </c>
      <c r="D59" s="4">
        <v>44926</v>
      </c>
      <c r="E59" s="2" t="s">
        <v>100</v>
      </c>
      <c r="F59" s="2" t="s">
        <v>100</v>
      </c>
      <c r="G59" s="2" t="s">
        <v>100</v>
      </c>
      <c r="H59" s="2" t="s">
        <v>100</v>
      </c>
      <c r="I59" s="2" t="s">
        <v>100</v>
      </c>
      <c r="J59" s="2" t="s">
        <v>100</v>
      </c>
      <c r="K59" s="2" t="s">
        <v>100</v>
      </c>
      <c r="L59" s="2" t="s">
        <v>100</v>
      </c>
      <c r="M59" s="2" t="s">
        <v>100</v>
      </c>
      <c r="N59" s="2" t="s">
        <v>100</v>
      </c>
      <c r="O59" s="2" t="s">
        <v>100</v>
      </c>
      <c r="P59" s="2" t="s">
        <v>100</v>
      </c>
      <c r="Q59" s="2" t="s">
        <v>100</v>
      </c>
      <c r="R59" s="2" t="s">
        <v>100</v>
      </c>
      <c r="S59" s="2" t="s">
        <v>100</v>
      </c>
      <c r="T59" s="2" t="s">
        <v>100</v>
      </c>
      <c r="U59" s="2" t="s">
        <v>100</v>
      </c>
      <c r="V59" s="2" t="s">
        <v>100</v>
      </c>
      <c r="W59" s="2" t="s">
        <v>100</v>
      </c>
      <c r="X59" s="2" t="s">
        <v>100</v>
      </c>
    </row>
    <row r="60" spans="1:24" x14ac:dyDescent="0.35">
      <c r="A60" s="1" t="s">
        <v>59</v>
      </c>
      <c r="C60" s="2" t="s">
        <v>5</v>
      </c>
      <c r="D60" s="4">
        <v>44561</v>
      </c>
      <c r="E60" s="2" t="s">
        <v>100</v>
      </c>
      <c r="F60" s="2" t="s">
        <v>100</v>
      </c>
      <c r="G60" s="2" t="s">
        <v>100</v>
      </c>
      <c r="H60" s="2" t="s">
        <v>100</v>
      </c>
      <c r="I60" s="2" t="s">
        <v>100</v>
      </c>
      <c r="J60" s="2" t="s">
        <v>100</v>
      </c>
      <c r="K60" s="2" t="s">
        <v>100</v>
      </c>
      <c r="L60" s="2" t="s">
        <v>100</v>
      </c>
      <c r="M60" s="2" t="s">
        <v>100</v>
      </c>
      <c r="N60" s="2" t="s">
        <v>100</v>
      </c>
      <c r="O60" s="2" t="s">
        <v>100</v>
      </c>
      <c r="P60" s="2" t="s">
        <v>100</v>
      </c>
      <c r="Q60" s="2" t="s">
        <v>100</v>
      </c>
      <c r="R60" s="2" t="s">
        <v>100</v>
      </c>
      <c r="S60" s="2" t="s">
        <v>100</v>
      </c>
      <c r="T60" s="2" t="s">
        <v>100</v>
      </c>
      <c r="U60" s="2" t="s">
        <v>100</v>
      </c>
      <c r="V60" s="2" t="s">
        <v>100</v>
      </c>
      <c r="W60" s="2" t="s">
        <v>100</v>
      </c>
      <c r="X60" s="2" t="s">
        <v>100</v>
      </c>
    </row>
    <row r="61" spans="1:24" x14ac:dyDescent="0.35">
      <c r="A61" s="1" t="s">
        <v>60</v>
      </c>
      <c r="C61" s="2" t="s">
        <v>5</v>
      </c>
      <c r="D61" s="4">
        <v>44196</v>
      </c>
      <c r="E61" s="2" t="s">
        <v>100</v>
      </c>
      <c r="F61" s="2" t="s">
        <v>100</v>
      </c>
      <c r="G61" s="2" t="s">
        <v>100</v>
      </c>
      <c r="H61" s="2" t="s">
        <v>100</v>
      </c>
      <c r="I61" s="2" t="s">
        <v>100</v>
      </c>
      <c r="J61" s="2" t="s">
        <v>100</v>
      </c>
      <c r="K61" s="2" t="s">
        <v>100</v>
      </c>
      <c r="L61" s="2" t="s">
        <v>100</v>
      </c>
      <c r="M61" s="2" t="s">
        <v>100</v>
      </c>
      <c r="N61" s="2" t="s">
        <v>100</v>
      </c>
      <c r="O61" s="2" t="s">
        <v>100</v>
      </c>
      <c r="P61" s="2" t="s">
        <v>100</v>
      </c>
      <c r="Q61" s="2" t="s">
        <v>100</v>
      </c>
      <c r="R61" s="2" t="s">
        <v>100</v>
      </c>
      <c r="S61" s="2" t="s">
        <v>100</v>
      </c>
      <c r="T61" s="2" t="s">
        <v>100</v>
      </c>
      <c r="U61" s="2" t="s">
        <v>100</v>
      </c>
      <c r="V61" s="2" t="s">
        <v>100</v>
      </c>
      <c r="W61" s="2" t="s">
        <v>100</v>
      </c>
      <c r="X61" s="2" t="s">
        <v>100</v>
      </c>
    </row>
    <row r="62" spans="1:24" x14ac:dyDescent="0.35">
      <c r="A62" s="1" t="s">
        <v>61</v>
      </c>
      <c r="C62" s="2" t="s">
        <v>5</v>
      </c>
      <c r="D62" s="4">
        <v>43830</v>
      </c>
      <c r="E62" s="2" t="s">
        <v>100</v>
      </c>
      <c r="F62" s="2" t="s">
        <v>100</v>
      </c>
      <c r="G62" s="2" t="s">
        <v>100</v>
      </c>
      <c r="H62" s="2" t="s">
        <v>100</v>
      </c>
      <c r="I62" s="2" t="s">
        <v>100</v>
      </c>
      <c r="J62" s="2" t="s">
        <v>100</v>
      </c>
      <c r="K62" s="2" t="s">
        <v>100</v>
      </c>
      <c r="L62" s="2" t="s">
        <v>100</v>
      </c>
      <c r="M62" s="2" t="s">
        <v>100</v>
      </c>
      <c r="N62" s="2" t="s">
        <v>100</v>
      </c>
      <c r="O62" s="2" t="s">
        <v>100</v>
      </c>
      <c r="P62" s="2" t="s">
        <v>100</v>
      </c>
      <c r="Q62" s="2" t="s">
        <v>100</v>
      </c>
      <c r="R62" s="2" t="s">
        <v>100</v>
      </c>
      <c r="S62" s="2" t="s">
        <v>100</v>
      </c>
      <c r="T62" s="2" t="s">
        <v>100</v>
      </c>
      <c r="U62" s="2" t="s">
        <v>100</v>
      </c>
      <c r="V62" s="2" t="s">
        <v>100</v>
      </c>
      <c r="W62" s="2" t="s">
        <v>100</v>
      </c>
      <c r="X62" s="2" t="s">
        <v>100</v>
      </c>
    </row>
    <row r="63" spans="1:24" x14ac:dyDescent="0.35">
      <c r="A63" s="1" t="s">
        <v>62</v>
      </c>
      <c r="C63" s="2" t="s">
        <v>5</v>
      </c>
      <c r="D63" s="4">
        <v>43465</v>
      </c>
      <c r="E63" s="2" t="s">
        <v>100</v>
      </c>
      <c r="F63" s="2" t="s">
        <v>100</v>
      </c>
      <c r="G63" s="2" t="s">
        <v>100</v>
      </c>
      <c r="H63" s="2" t="s">
        <v>100</v>
      </c>
      <c r="I63" s="2" t="s">
        <v>100</v>
      </c>
      <c r="J63" s="2" t="s">
        <v>100</v>
      </c>
      <c r="K63" s="2" t="s">
        <v>100</v>
      </c>
      <c r="L63" s="2" t="s">
        <v>100</v>
      </c>
      <c r="M63" s="2" t="s">
        <v>100</v>
      </c>
      <c r="N63" s="2" t="s">
        <v>100</v>
      </c>
      <c r="O63" s="2" t="s">
        <v>100</v>
      </c>
      <c r="P63" s="2" t="s">
        <v>100</v>
      </c>
      <c r="Q63" s="2" t="s">
        <v>100</v>
      </c>
      <c r="R63" s="2" t="s">
        <v>100</v>
      </c>
      <c r="S63" s="2" t="s">
        <v>100</v>
      </c>
      <c r="T63" s="2" t="s">
        <v>100</v>
      </c>
      <c r="U63" s="2" t="s">
        <v>100</v>
      </c>
      <c r="V63" s="2" t="s">
        <v>100</v>
      </c>
      <c r="W63" s="2" t="s">
        <v>100</v>
      </c>
      <c r="X63" s="2" t="s">
        <v>100</v>
      </c>
    </row>
    <row r="64" spans="1:24" x14ac:dyDescent="0.35">
      <c r="A64" s="1" t="s">
        <v>63</v>
      </c>
      <c r="C64" s="2" t="s">
        <v>5</v>
      </c>
      <c r="D64" s="4">
        <v>43100</v>
      </c>
      <c r="E64" s="2" t="s">
        <v>100</v>
      </c>
      <c r="F64" s="2" t="s">
        <v>100</v>
      </c>
      <c r="G64" s="2" t="s">
        <v>100</v>
      </c>
      <c r="H64" s="2" t="s">
        <v>100</v>
      </c>
      <c r="I64" s="2" t="s">
        <v>100</v>
      </c>
      <c r="J64" s="2" t="s">
        <v>100</v>
      </c>
      <c r="K64" s="2" t="s">
        <v>100</v>
      </c>
      <c r="L64" s="2" t="s">
        <v>100</v>
      </c>
      <c r="M64" s="2" t="s">
        <v>100</v>
      </c>
      <c r="N64" s="2" t="s">
        <v>100</v>
      </c>
      <c r="O64" s="2" t="s">
        <v>100</v>
      </c>
      <c r="P64" s="2" t="s">
        <v>100</v>
      </c>
      <c r="Q64" s="2" t="s">
        <v>100</v>
      </c>
      <c r="R64" s="2" t="s">
        <v>100</v>
      </c>
      <c r="S64" s="2" t="s">
        <v>100</v>
      </c>
      <c r="T64" s="2" t="s">
        <v>100</v>
      </c>
      <c r="U64" s="2" t="s">
        <v>100</v>
      </c>
      <c r="V64" s="2" t="s">
        <v>100</v>
      </c>
      <c r="W64" s="2" t="s">
        <v>100</v>
      </c>
      <c r="X64" s="2" t="s">
        <v>100</v>
      </c>
    </row>
    <row r="65" spans="1:24" x14ac:dyDescent="0.35">
      <c r="A65" s="1" t="s">
        <v>64</v>
      </c>
      <c r="C65" s="2" t="s">
        <v>5</v>
      </c>
      <c r="D65" s="4">
        <v>42735</v>
      </c>
      <c r="E65" s="2" t="s">
        <v>100</v>
      </c>
      <c r="F65" s="2" t="s">
        <v>100</v>
      </c>
      <c r="G65" s="2" t="s">
        <v>100</v>
      </c>
      <c r="H65" s="2" t="s">
        <v>100</v>
      </c>
      <c r="I65" s="2" t="s">
        <v>100</v>
      </c>
      <c r="J65" s="2" t="s">
        <v>100</v>
      </c>
      <c r="K65" s="2" t="s">
        <v>100</v>
      </c>
      <c r="L65" s="2" t="s">
        <v>100</v>
      </c>
      <c r="M65" s="2" t="s">
        <v>100</v>
      </c>
      <c r="N65" s="2" t="s">
        <v>100</v>
      </c>
      <c r="O65" s="2" t="s">
        <v>100</v>
      </c>
      <c r="P65" s="2" t="s">
        <v>100</v>
      </c>
      <c r="Q65" s="2" t="s">
        <v>100</v>
      </c>
      <c r="R65" s="2" t="s">
        <v>100</v>
      </c>
      <c r="S65" s="2" t="s">
        <v>100</v>
      </c>
      <c r="T65" s="2" t="s">
        <v>100</v>
      </c>
      <c r="U65" s="2" t="s">
        <v>100</v>
      </c>
      <c r="V65" s="2" t="s">
        <v>100</v>
      </c>
      <c r="W65" s="2" t="s">
        <v>100</v>
      </c>
      <c r="X65" s="2" t="s">
        <v>100</v>
      </c>
    </row>
    <row r="66" spans="1:24" x14ac:dyDescent="0.35">
      <c r="A66" s="1" t="s">
        <v>65</v>
      </c>
      <c r="C66" s="2" t="s">
        <v>6</v>
      </c>
      <c r="D66" s="3">
        <v>45657</v>
      </c>
      <c r="E66">
        <v>75.966742588481594</v>
      </c>
      <c r="F66">
        <v>77.662533359986796</v>
      </c>
      <c r="G66">
        <v>83.059718214946898</v>
      </c>
      <c r="H66">
        <v>79.076383428425501</v>
      </c>
      <c r="I66">
        <v>5370</v>
      </c>
      <c r="J66">
        <v>76.923076923076906</v>
      </c>
      <c r="K66">
        <v>11</v>
      </c>
      <c r="L66" s="2" t="b">
        <v>1</v>
      </c>
      <c r="M66" s="2">
        <v>722</v>
      </c>
      <c r="N66" s="2" t="s">
        <v>100</v>
      </c>
      <c r="O66" s="2" t="b">
        <v>1</v>
      </c>
      <c r="P66" s="2">
        <v>135362.51999999999</v>
      </c>
      <c r="Q66">
        <v>70.2374273937494</v>
      </c>
      <c r="R66" t="b">
        <v>0</v>
      </c>
      <c r="S66" s="2">
        <v>25.5263157894736</v>
      </c>
      <c r="T66" s="2" t="s">
        <v>100</v>
      </c>
      <c r="U66" s="2">
        <v>79</v>
      </c>
      <c r="V66" t="b">
        <v>1</v>
      </c>
      <c r="W66" t="b">
        <v>1</v>
      </c>
      <c r="X66">
        <v>51.813471502590602</v>
      </c>
    </row>
    <row r="67" spans="1:24" x14ac:dyDescent="0.35">
      <c r="A67" s="1" t="s">
        <v>66</v>
      </c>
      <c r="C67" s="2" t="s">
        <v>6</v>
      </c>
      <c r="D67" s="3">
        <v>45291</v>
      </c>
      <c r="E67">
        <v>77.106779858065394</v>
      </c>
      <c r="F67">
        <v>77.959429032327193</v>
      </c>
      <c r="G67">
        <v>90.139846277223597</v>
      </c>
      <c r="H67">
        <v>81.849431472857702</v>
      </c>
      <c r="I67">
        <v>7256</v>
      </c>
      <c r="J67">
        <v>75</v>
      </c>
      <c r="K67">
        <v>11</v>
      </c>
      <c r="L67" t="b">
        <v>1</v>
      </c>
      <c r="M67" s="2">
        <v>576</v>
      </c>
      <c r="N67" s="2" t="s">
        <v>100</v>
      </c>
      <c r="O67" t="b">
        <v>1</v>
      </c>
      <c r="P67">
        <v>93716.91</v>
      </c>
      <c r="Q67">
        <v>71.154811864450707</v>
      </c>
      <c r="R67" t="b">
        <v>0</v>
      </c>
      <c r="S67">
        <v>26.164383561643799</v>
      </c>
      <c r="T67" s="2" t="s">
        <v>100</v>
      </c>
      <c r="U67">
        <v>80</v>
      </c>
      <c r="V67" t="b">
        <v>1</v>
      </c>
      <c r="W67" t="b">
        <v>1</v>
      </c>
      <c r="X67">
        <v>52.910052910052897</v>
      </c>
    </row>
    <row r="68" spans="1:24" x14ac:dyDescent="0.35">
      <c r="A68" s="1" t="s">
        <v>67</v>
      </c>
      <c r="C68" s="2" t="s">
        <v>6</v>
      </c>
      <c r="D68" s="3">
        <v>44926</v>
      </c>
      <c r="E68">
        <v>77.216509905918201</v>
      </c>
      <c r="F68">
        <v>67.926301861356194</v>
      </c>
      <c r="G68">
        <v>80.617867867867801</v>
      </c>
      <c r="H68">
        <v>74.372287112824296</v>
      </c>
      <c r="I68">
        <v>6441</v>
      </c>
      <c r="J68">
        <v>75</v>
      </c>
      <c r="K68">
        <v>11</v>
      </c>
      <c r="L68" t="b">
        <v>1</v>
      </c>
      <c r="M68" s="2">
        <v>783</v>
      </c>
      <c r="N68" s="2" t="s">
        <v>100</v>
      </c>
      <c r="O68" t="b">
        <v>1</v>
      </c>
      <c r="P68">
        <v>85175.35</v>
      </c>
      <c r="Q68">
        <v>73.521960578472303</v>
      </c>
      <c r="R68" t="b">
        <v>0</v>
      </c>
      <c r="S68" s="2">
        <v>25.956284153005399</v>
      </c>
      <c r="T68" s="2" t="s">
        <v>100</v>
      </c>
      <c r="U68" s="2">
        <v>79</v>
      </c>
      <c r="V68" t="b">
        <v>1</v>
      </c>
      <c r="W68" t="b">
        <v>1</v>
      </c>
      <c r="X68">
        <v>54.285714285714199</v>
      </c>
    </row>
    <row r="69" spans="1:24" x14ac:dyDescent="0.35">
      <c r="A69" s="1" t="s">
        <v>68</v>
      </c>
      <c r="C69" s="2" t="s">
        <v>6</v>
      </c>
      <c r="D69" s="3">
        <v>44561</v>
      </c>
      <c r="E69">
        <v>77.632445508314603</v>
      </c>
      <c r="F69">
        <v>68.357978711457207</v>
      </c>
      <c r="G69">
        <v>72.766683386383207</v>
      </c>
      <c r="H69">
        <v>72.018705685133895</v>
      </c>
      <c r="I69">
        <v>7445</v>
      </c>
      <c r="J69">
        <v>78.571428571428498</v>
      </c>
      <c r="K69">
        <v>12</v>
      </c>
      <c r="L69" t="b">
        <v>1</v>
      </c>
      <c r="M69" s="2">
        <v>924</v>
      </c>
      <c r="N69" s="2" t="s">
        <v>100</v>
      </c>
      <c r="O69" s="2" t="b">
        <v>1</v>
      </c>
      <c r="P69" s="2">
        <v>102459</v>
      </c>
      <c r="Q69">
        <v>75.621147307915805</v>
      </c>
      <c r="R69" s="2" t="s">
        <v>100</v>
      </c>
      <c r="S69">
        <v>25.525525525525499</v>
      </c>
      <c r="T69" s="2" t="s">
        <v>100</v>
      </c>
      <c r="U69" s="2">
        <v>80</v>
      </c>
      <c r="V69" t="b">
        <v>1</v>
      </c>
      <c r="W69" t="b">
        <v>1</v>
      </c>
      <c r="X69">
        <v>55.182072829131599</v>
      </c>
    </row>
    <row r="70" spans="1:24" x14ac:dyDescent="0.35">
      <c r="A70" s="1" t="s">
        <v>69</v>
      </c>
      <c r="C70" s="2" t="s">
        <v>6</v>
      </c>
      <c r="D70" s="3">
        <v>44196</v>
      </c>
      <c r="E70">
        <v>66.3573353869849</v>
      </c>
      <c r="F70">
        <v>64.278366901543706</v>
      </c>
      <c r="G70">
        <v>67.322344322344307</v>
      </c>
      <c r="H70">
        <v>65.789310865927405</v>
      </c>
      <c r="I70">
        <v>8349</v>
      </c>
      <c r="J70">
        <v>80</v>
      </c>
      <c r="K70">
        <v>10</v>
      </c>
      <c r="L70" t="b">
        <v>1</v>
      </c>
      <c r="M70" s="2">
        <v>1229</v>
      </c>
      <c r="N70" s="2" t="s">
        <v>100</v>
      </c>
      <c r="O70" t="b">
        <v>1</v>
      </c>
      <c r="P70">
        <v>90515.15</v>
      </c>
      <c r="Q70">
        <v>78.200069035947806</v>
      </c>
      <c r="R70" s="2" t="s">
        <v>100</v>
      </c>
      <c r="S70" s="2">
        <v>27.6271186440677</v>
      </c>
      <c r="T70" s="2" t="s">
        <v>100</v>
      </c>
      <c r="U70">
        <v>86</v>
      </c>
      <c r="V70" t="b">
        <v>1</v>
      </c>
      <c r="W70" t="b">
        <v>1</v>
      </c>
      <c r="X70">
        <v>56.9444444444444</v>
      </c>
    </row>
    <row r="71" spans="1:24" x14ac:dyDescent="0.35">
      <c r="A71" s="1" t="s">
        <v>70</v>
      </c>
      <c r="C71" s="2" t="s">
        <v>6</v>
      </c>
      <c r="D71" s="3">
        <v>43830</v>
      </c>
      <c r="E71">
        <v>65.299661531279099</v>
      </c>
      <c r="F71">
        <v>66.011727620141997</v>
      </c>
      <c r="G71">
        <v>54.436110629943897</v>
      </c>
      <c r="H71">
        <v>61.948725655537601</v>
      </c>
      <c r="I71">
        <v>11173</v>
      </c>
      <c r="J71">
        <v>84.615384615384599</v>
      </c>
      <c r="K71">
        <v>10</v>
      </c>
      <c r="L71" s="2" t="b">
        <v>1</v>
      </c>
      <c r="M71" s="2">
        <v>7317</v>
      </c>
      <c r="N71" s="2" t="s">
        <v>100</v>
      </c>
      <c r="O71" t="b">
        <v>1</v>
      </c>
      <c r="P71">
        <v>92853.119999999995</v>
      </c>
      <c r="Q71">
        <v>80.269779293880703</v>
      </c>
      <c r="R71" s="2" t="s">
        <v>100</v>
      </c>
      <c r="S71">
        <v>27.6315789473684</v>
      </c>
      <c r="T71" s="2" t="s">
        <v>100</v>
      </c>
      <c r="U71">
        <v>80</v>
      </c>
      <c r="V71" t="b">
        <v>1</v>
      </c>
      <c r="W71" t="b">
        <v>1</v>
      </c>
      <c r="X71">
        <v>56.818181818181799</v>
      </c>
    </row>
    <row r="72" spans="1:24" x14ac:dyDescent="0.35">
      <c r="A72" s="1" t="s">
        <v>71</v>
      </c>
      <c r="C72" s="2" t="s">
        <v>6</v>
      </c>
      <c r="D72" s="3">
        <v>43465</v>
      </c>
      <c r="E72">
        <v>52.331789145813502</v>
      </c>
      <c r="F72">
        <v>68.185604624198106</v>
      </c>
      <c r="G72">
        <v>35.250103411242698</v>
      </c>
      <c r="H72">
        <v>53.353747625917201</v>
      </c>
      <c r="I72">
        <v>11786</v>
      </c>
      <c r="J72">
        <v>83.3333333333333</v>
      </c>
      <c r="K72">
        <v>12</v>
      </c>
      <c r="L72" t="b">
        <v>1</v>
      </c>
      <c r="M72" s="2">
        <v>6779</v>
      </c>
      <c r="N72" s="2" t="s">
        <v>100</v>
      </c>
      <c r="O72" s="2" t="b">
        <v>1</v>
      </c>
      <c r="P72" s="2">
        <v>81962.039999999994</v>
      </c>
      <c r="Q72">
        <v>82.220517481419506</v>
      </c>
      <c r="R72" s="2" t="s">
        <v>100</v>
      </c>
      <c r="S72">
        <v>28.7878787878787</v>
      </c>
      <c r="T72" s="2" t="s">
        <v>100</v>
      </c>
      <c r="U72" s="2">
        <v>77</v>
      </c>
      <c r="V72" t="b">
        <v>1</v>
      </c>
      <c r="W72" t="b">
        <v>1</v>
      </c>
      <c r="X72">
        <v>57.968127490039798</v>
      </c>
    </row>
    <row r="73" spans="1:24" x14ac:dyDescent="0.35">
      <c r="A73" s="1" t="s">
        <v>72</v>
      </c>
      <c r="C73" s="2" t="s">
        <v>6</v>
      </c>
      <c r="D73" s="3">
        <v>43100</v>
      </c>
      <c r="E73">
        <v>53.9399419146254</v>
      </c>
      <c r="F73">
        <v>70.840674365284599</v>
      </c>
      <c r="G73">
        <v>29.092319572656201</v>
      </c>
      <c r="H73">
        <v>52.8477710976425</v>
      </c>
      <c r="I73">
        <v>9682</v>
      </c>
      <c r="J73">
        <v>81.818181818181799</v>
      </c>
      <c r="K73">
        <v>10</v>
      </c>
      <c r="L73" t="b">
        <v>1</v>
      </c>
      <c r="M73" s="2">
        <v>5660</v>
      </c>
      <c r="N73" s="2" t="s">
        <v>100</v>
      </c>
      <c r="O73" t="b">
        <v>1</v>
      </c>
      <c r="P73">
        <v>23101.75</v>
      </c>
      <c r="Q73">
        <v>85.960763534790999</v>
      </c>
      <c r="R73" s="2" t="s">
        <v>100</v>
      </c>
      <c r="S73">
        <v>35.897435897435898</v>
      </c>
      <c r="T73" s="2" t="s">
        <v>100</v>
      </c>
      <c r="U73" s="2">
        <v>74</v>
      </c>
      <c r="V73" t="b">
        <v>1</v>
      </c>
      <c r="W73" t="b">
        <v>1</v>
      </c>
      <c r="X73">
        <v>60.357142857142797</v>
      </c>
    </row>
    <row r="74" spans="1:24" x14ac:dyDescent="0.35">
      <c r="A74" s="1" t="s">
        <v>73</v>
      </c>
      <c r="C74" s="2" t="s">
        <v>6</v>
      </c>
      <c r="D74" s="3">
        <v>42735</v>
      </c>
      <c r="E74">
        <v>44.237085186452198</v>
      </c>
      <c r="F74">
        <v>65.905062251845195</v>
      </c>
      <c r="G74">
        <v>30.580532096925499</v>
      </c>
      <c r="H74">
        <v>51.626621622749902</v>
      </c>
      <c r="I74">
        <v>7986</v>
      </c>
      <c r="J74">
        <v>84.615384615384599</v>
      </c>
      <c r="K74">
        <v>11</v>
      </c>
      <c r="L74" s="2" t="b">
        <v>1</v>
      </c>
      <c r="M74" s="2">
        <v>5089</v>
      </c>
      <c r="N74" s="2" t="s">
        <v>100</v>
      </c>
      <c r="O74" t="b">
        <v>1</v>
      </c>
      <c r="P74" s="2" t="s">
        <v>100</v>
      </c>
      <c r="Q74">
        <v>86.761782529177495</v>
      </c>
      <c r="R74" s="2" t="s">
        <v>100</v>
      </c>
      <c r="S74">
        <v>35.585585585585498</v>
      </c>
      <c r="T74" s="2" t="s">
        <v>100</v>
      </c>
      <c r="U74">
        <v>71</v>
      </c>
      <c r="V74" t="b">
        <v>1</v>
      </c>
      <c r="W74" t="b">
        <v>1</v>
      </c>
      <c r="X74">
        <v>59.375</v>
      </c>
    </row>
    <row r="75" spans="1:24" x14ac:dyDescent="0.35">
      <c r="A75" s="1" t="s">
        <v>74</v>
      </c>
      <c r="C75" s="2" t="s">
        <v>6</v>
      </c>
      <c r="D75" s="3">
        <v>42369</v>
      </c>
      <c r="E75">
        <v>48.273239436619697</v>
      </c>
      <c r="F75">
        <v>70.428214780285103</v>
      </c>
      <c r="G75">
        <v>29.355155536270001</v>
      </c>
      <c r="H75">
        <v>54.815959219183803</v>
      </c>
      <c r="I75">
        <v>9256</v>
      </c>
      <c r="J75">
        <v>83.3333333333333</v>
      </c>
      <c r="K75">
        <v>12</v>
      </c>
      <c r="L75" t="b">
        <v>1</v>
      </c>
      <c r="M75" s="2" t="s">
        <v>100</v>
      </c>
      <c r="N75" s="2" t="s">
        <v>100</v>
      </c>
      <c r="O75" s="2" t="b">
        <v>1</v>
      </c>
      <c r="P75" s="2">
        <v>26280</v>
      </c>
      <c r="Q75">
        <v>87.208323109393802</v>
      </c>
      <c r="R75" s="2" t="s">
        <v>100</v>
      </c>
      <c r="S75" s="2">
        <v>33.3333333333333</v>
      </c>
      <c r="T75" s="2" t="s">
        <v>100</v>
      </c>
      <c r="U75" s="2" t="s">
        <v>100</v>
      </c>
      <c r="V75" t="b">
        <v>1</v>
      </c>
      <c r="W75" t="b">
        <v>1</v>
      </c>
      <c r="X75">
        <v>62.138728323699397</v>
      </c>
    </row>
    <row r="76" spans="1:24" x14ac:dyDescent="0.35">
      <c r="A76" s="1" t="s">
        <v>75</v>
      </c>
      <c r="C76" s="2" t="s">
        <v>7</v>
      </c>
      <c r="D76" s="3">
        <v>45382</v>
      </c>
      <c r="E76">
        <v>84.411764705882305</v>
      </c>
      <c r="F76">
        <v>79.176267281106107</v>
      </c>
      <c r="G76">
        <v>58.281279645658699</v>
      </c>
      <c r="H76">
        <v>76.105092939144399</v>
      </c>
      <c r="I76">
        <v>270388.8</v>
      </c>
      <c r="J76">
        <v>77.7777777777777</v>
      </c>
      <c r="K76">
        <v>9</v>
      </c>
      <c r="L76" t="b">
        <v>1</v>
      </c>
      <c r="M76" s="2">
        <v>629805</v>
      </c>
      <c r="N76" s="2" t="s">
        <v>100</v>
      </c>
      <c r="O76" t="b">
        <v>1</v>
      </c>
      <c r="P76">
        <v>130815.1</v>
      </c>
      <c r="Q76">
        <v>70.2374273937494</v>
      </c>
      <c r="R76" t="b">
        <v>0</v>
      </c>
      <c r="S76" s="2">
        <v>76.25</v>
      </c>
      <c r="T76" s="2" t="s">
        <v>100</v>
      </c>
      <c r="U76">
        <v>81</v>
      </c>
      <c r="V76" t="b">
        <v>1</v>
      </c>
      <c r="W76" t="b">
        <v>1</v>
      </c>
      <c r="X76">
        <v>52.5</v>
      </c>
    </row>
    <row r="77" spans="1:24" x14ac:dyDescent="0.35">
      <c r="A77" s="1" t="s">
        <v>76</v>
      </c>
      <c r="C77" s="2" t="s">
        <v>7</v>
      </c>
      <c r="D77" s="3">
        <v>45016</v>
      </c>
      <c r="E77">
        <v>85.699797160243406</v>
      </c>
      <c r="F77">
        <v>75.168380007089695</v>
      </c>
      <c r="G77">
        <v>45.819209039547999</v>
      </c>
      <c r="H77">
        <v>72.237743982491494</v>
      </c>
      <c r="I77">
        <v>260560.7</v>
      </c>
      <c r="J77">
        <v>72.727272727272705</v>
      </c>
      <c r="K77">
        <v>9</v>
      </c>
      <c r="L77" t="b">
        <v>1</v>
      </c>
      <c r="M77" s="2">
        <v>656409</v>
      </c>
      <c r="N77" s="2" t="s">
        <v>100</v>
      </c>
      <c r="O77" s="2" t="b">
        <v>1</v>
      </c>
      <c r="P77" s="2">
        <v>160000</v>
      </c>
      <c r="Q77">
        <v>71.154811864450707</v>
      </c>
      <c r="R77" t="b">
        <v>0</v>
      </c>
      <c r="S77" s="2">
        <v>75</v>
      </c>
      <c r="T77" s="2" t="s">
        <v>100</v>
      </c>
      <c r="U77" s="2">
        <v>82</v>
      </c>
      <c r="V77" t="b">
        <v>1</v>
      </c>
      <c r="W77" t="b">
        <v>1</v>
      </c>
      <c r="X77">
        <v>55.128205128205103</v>
      </c>
    </row>
    <row r="78" spans="1:24" x14ac:dyDescent="0.35">
      <c r="A78" s="1" t="s">
        <v>77</v>
      </c>
      <c r="C78" s="2" t="s">
        <v>7</v>
      </c>
      <c r="D78" s="3">
        <v>44651</v>
      </c>
      <c r="E78">
        <v>85.609243697479002</v>
      </c>
      <c r="F78">
        <v>72.743286870094394</v>
      </c>
      <c r="G78">
        <v>47.711836836836802</v>
      </c>
      <c r="H78" s="2">
        <v>71.9343562629725</v>
      </c>
      <c r="I78" s="2">
        <v>266226</v>
      </c>
      <c r="J78">
        <v>81.818181818181799</v>
      </c>
      <c r="K78">
        <v>10</v>
      </c>
      <c r="L78" s="2" t="b">
        <v>1</v>
      </c>
      <c r="M78" s="2">
        <v>661933</v>
      </c>
      <c r="N78" s="2" t="s">
        <v>100</v>
      </c>
      <c r="O78" s="2" t="b">
        <v>1</v>
      </c>
      <c r="P78" s="2">
        <v>133520.20000000001</v>
      </c>
      <c r="Q78">
        <v>73.521960578472303</v>
      </c>
      <c r="R78" t="b">
        <v>0</v>
      </c>
      <c r="S78" s="2">
        <v>81.9444444444444</v>
      </c>
      <c r="T78" s="2" t="s">
        <v>100</v>
      </c>
      <c r="U78" s="2">
        <v>87</v>
      </c>
      <c r="V78" t="b">
        <v>1</v>
      </c>
      <c r="W78" t="b">
        <v>1</v>
      </c>
      <c r="X78">
        <v>61.538461538461497</v>
      </c>
    </row>
    <row r="79" spans="1:24" x14ac:dyDescent="0.35">
      <c r="A79" s="1" t="s">
        <v>78</v>
      </c>
      <c r="C79" s="2" t="s">
        <v>7</v>
      </c>
      <c r="D79" s="3">
        <v>44286</v>
      </c>
      <c r="E79">
        <v>86.444243472790106</v>
      </c>
      <c r="F79">
        <v>70.324500768049205</v>
      </c>
      <c r="G79">
        <v>61.8903827252512</v>
      </c>
      <c r="H79">
        <v>75.181542048201507</v>
      </c>
      <c r="I79">
        <v>281604</v>
      </c>
      <c r="J79">
        <v>75</v>
      </c>
      <c r="K79">
        <v>11</v>
      </c>
      <c r="L79" t="b">
        <v>1</v>
      </c>
      <c r="M79" s="2" t="s">
        <v>100</v>
      </c>
      <c r="N79" s="2" t="s">
        <v>100</v>
      </c>
      <c r="O79" t="b">
        <v>1</v>
      </c>
      <c r="P79">
        <v>96144.95</v>
      </c>
      <c r="Q79">
        <v>75.621147307915805</v>
      </c>
      <c r="R79" s="2" t="s">
        <v>100</v>
      </c>
      <c r="S79">
        <v>85.9375</v>
      </c>
      <c r="T79" s="2">
        <v>2.5123600000000001</v>
      </c>
      <c r="U79" s="2">
        <v>89</v>
      </c>
      <c r="V79" t="b">
        <v>1</v>
      </c>
      <c r="W79" t="b">
        <v>1</v>
      </c>
      <c r="X79">
        <v>65.2777777777777</v>
      </c>
    </row>
    <row r="80" spans="1:24" x14ac:dyDescent="0.35">
      <c r="A80" s="1" t="s">
        <v>79</v>
      </c>
      <c r="C80" s="2" t="s">
        <v>7</v>
      </c>
      <c r="D80" s="3">
        <v>43921</v>
      </c>
      <c r="E80">
        <v>84.732620320855602</v>
      </c>
      <c r="F80">
        <v>72.339757017176396</v>
      </c>
      <c r="G80">
        <v>55.370370370370303</v>
      </c>
      <c r="H80">
        <v>73.389154704944104</v>
      </c>
      <c r="I80">
        <v>291693</v>
      </c>
      <c r="J80">
        <v>72.727272727272705</v>
      </c>
      <c r="K80">
        <v>9</v>
      </c>
      <c r="L80" s="2" t="b">
        <v>1</v>
      </c>
      <c r="M80" s="2">
        <v>752480</v>
      </c>
      <c r="N80" s="2" t="s">
        <v>100</v>
      </c>
      <c r="O80" s="2" t="b">
        <v>1</v>
      </c>
      <c r="P80" s="2">
        <v>193619.52</v>
      </c>
      <c r="Q80">
        <v>78.200069035947806</v>
      </c>
      <c r="R80" s="2" t="s">
        <v>100</v>
      </c>
      <c r="S80" s="2">
        <v>83.928571428571402</v>
      </c>
      <c r="T80" s="2">
        <v>3.3085499999999999</v>
      </c>
      <c r="U80" s="2">
        <v>84</v>
      </c>
      <c r="V80" t="b">
        <v>1</v>
      </c>
      <c r="W80" t="b">
        <v>1</v>
      </c>
      <c r="X80">
        <v>66.6666666666666</v>
      </c>
    </row>
    <row r="81" spans="1:24" x14ac:dyDescent="0.35">
      <c r="A81" s="1" t="s">
        <v>80</v>
      </c>
      <c r="C81" s="2" t="s">
        <v>7</v>
      </c>
      <c r="D81" s="3">
        <v>43555</v>
      </c>
      <c r="E81">
        <v>84.259753508178804</v>
      </c>
      <c r="F81">
        <v>74.522584892437706</v>
      </c>
      <c r="G81">
        <v>49.203706911484403</v>
      </c>
      <c r="H81">
        <v>72.278168903597205</v>
      </c>
      <c r="I81">
        <v>306525</v>
      </c>
      <c r="J81">
        <v>70</v>
      </c>
      <c r="K81">
        <v>10</v>
      </c>
      <c r="L81" s="2" t="b">
        <v>1</v>
      </c>
      <c r="M81" s="2">
        <v>694846</v>
      </c>
      <c r="N81" s="2" t="s">
        <v>100</v>
      </c>
      <c r="O81" t="b">
        <v>1</v>
      </c>
      <c r="P81">
        <v>153709.92000000001</v>
      </c>
      <c r="Q81">
        <v>80.269779293880703</v>
      </c>
      <c r="R81" s="2" t="s">
        <v>100</v>
      </c>
      <c r="S81" s="2">
        <v>94</v>
      </c>
      <c r="T81" s="2">
        <v>3.7539099999999999</v>
      </c>
      <c r="U81">
        <v>81</v>
      </c>
      <c r="V81" t="b">
        <v>1</v>
      </c>
      <c r="W81" t="b">
        <v>1</v>
      </c>
      <c r="X81">
        <v>69.354838709677395</v>
      </c>
    </row>
    <row r="82" spans="1:24" x14ac:dyDescent="0.35">
      <c r="A82" s="1" t="s">
        <v>81</v>
      </c>
      <c r="C82" s="2" t="s">
        <v>7</v>
      </c>
      <c r="D82" s="3">
        <v>43190</v>
      </c>
      <c r="E82">
        <v>80.530690537084396</v>
      </c>
      <c r="F82">
        <v>80.717076451899104</v>
      </c>
      <c r="G82">
        <v>49.337029573717899</v>
      </c>
      <c r="H82">
        <v>72.601226483185101</v>
      </c>
      <c r="I82">
        <v>347750</v>
      </c>
      <c r="J82">
        <v>70</v>
      </c>
      <c r="K82">
        <v>10</v>
      </c>
      <c r="L82" s="2" t="b">
        <v>1</v>
      </c>
      <c r="M82" s="2">
        <v>695871</v>
      </c>
      <c r="N82" s="2" t="s">
        <v>100</v>
      </c>
      <c r="O82" s="2" t="b">
        <v>1</v>
      </c>
      <c r="P82" s="2">
        <v>148387.20000000001</v>
      </c>
      <c r="Q82">
        <v>82.220517481419506</v>
      </c>
      <c r="R82" s="2" t="s">
        <v>100</v>
      </c>
      <c r="S82" s="2">
        <v>93.478260869565204</v>
      </c>
      <c r="T82" s="2" t="s">
        <v>100</v>
      </c>
      <c r="U82" s="2">
        <v>79</v>
      </c>
      <c r="V82" t="b">
        <v>1</v>
      </c>
      <c r="W82" t="b">
        <v>1</v>
      </c>
      <c r="X82">
        <v>67.857142857142804</v>
      </c>
    </row>
    <row r="83" spans="1:24" x14ac:dyDescent="0.35">
      <c r="A83" s="1" t="s">
        <v>82</v>
      </c>
      <c r="C83" s="2" t="s">
        <v>7</v>
      </c>
      <c r="D83" s="3">
        <v>42825</v>
      </c>
      <c r="E83">
        <v>89.032507739938097</v>
      </c>
      <c r="F83">
        <v>86.492575524833498</v>
      </c>
      <c r="G83">
        <v>43.943318384803</v>
      </c>
      <c r="H83">
        <v>76.7036039353832</v>
      </c>
      <c r="I83">
        <v>406375</v>
      </c>
      <c r="J83">
        <v>77.7777777777777</v>
      </c>
      <c r="K83">
        <v>8</v>
      </c>
      <c r="L83" t="b">
        <v>1</v>
      </c>
      <c r="M83">
        <v>514295</v>
      </c>
      <c r="N83" s="2" t="s">
        <v>100</v>
      </c>
      <c r="O83" t="b">
        <v>1</v>
      </c>
      <c r="P83" s="2" t="s">
        <v>100</v>
      </c>
      <c r="Q83">
        <v>85.960763534790999</v>
      </c>
      <c r="R83" s="2" t="s">
        <v>100</v>
      </c>
      <c r="S83" s="2">
        <v>97.5</v>
      </c>
      <c r="T83" s="2" t="s">
        <v>100</v>
      </c>
      <c r="U83">
        <v>89</v>
      </c>
      <c r="V83" t="b">
        <v>1</v>
      </c>
      <c r="W83" t="b">
        <v>1</v>
      </c>
      <c r="X83">
        <v>74.074074074074105</v>
      </c>
    </row>
    <row r="84" spans="1:24" x14ac:dyDescent="0.35">
      <c r="A84" s="1" t="s">
        <v>83</v>
      </c>
      <c r="C84" s="2" t="s">
        <v>7</v>
      </c>
      <c r="D84" s="3">
        <v>42460</v>
      </c>
      <c r="E84">
        <v>80.460312467232797</v>
      </c>
      <c r="F84">
        <v>66.866359447004598</v>
      </c>
      <c r="G84">
        <v>40.349533587238398</v>
      </c>
      <c r="H84">
        <v>65.993985292569207</v>
      </c>
      <c r="I84">
        <v>413324</v>
      </c>
      <c r="J84">
        <v>75</v>
      </c>
      <c r="K84">
        <v>8</v>
      </c>
      <c r="L84" t="b">
        <v>1</v>
      </c>
      <c r="M84" s="2">
        <v>730313</v>
      </c>
      <c r="N84" s="2" t="s">
        <v>100</v>
      </c>
      <c r="O84" t="b">
        <v>1</v>
      </c>
      <c r="P84">
        <v>168000</v>
      </c>
      <c r="Q84">
        <v>86.761782529177495</v>
      </c>
      <c r="R84" s="2" t="s">
        <v>100</v>
      </c>
      <c r="S84" s="2">
        <v>96.875</v>
      </c>
      <c r="T84" s="2" t="s">
        <v>100</v>
      </c>
      <c r="U84" s="2">
        <v>75</v>
      </c>
      <c r="V84" t="b">
        <v>1</v>
      </c>
      <c r="W84" t="b">
        <v>1</v>
      </c>
      <c r="X84">
        <v>75</v>
      </c>
    </row>
    <row r="85" spans="1:24" x14ac:dyDescent="0.35">
      <c r="A85" s="1" t="s">
        <v>84</v>
      </c>
      <c r="C85" s="2" t="s">
        <v>7</v>
      </c>
      <c r="D85" s="3">
        <v>42094</v>
      </c>
      <c r="E85">
        <v>84.766214177978796</v>
      </c>
      <c r="F85">
        <v>62.360864941510101</v>
      </c>
      <c r="G85">
        <v>48.999990668290302</v>
      </c>
      <c r="H85">
        <v>68.692414724127204</v>
      </c>
      <c r="I85">
        <v>425226</v>
      </c>
      <c r="J85">
        <v>77.7777777777777</v>
      </c>
      <c r="K85">
        <v>8</v>
      </c>
      <c r="L85" t="b">
        <v>1</v>
      </c>
      <c r="M85" s="2" t="s">
        <v>100</v>
      </c>
      <c r="N85" s="2" t="s">
        <v>100</v>
      </c>
      <c r="O85" t="b">
        <v>1</v>
      </c>
      <c r="P85">
        <v>192000</v>
      </c>
      <c r="Q85">
        <v>87.208323109393802</v>
      </c>
      <c r="R85" s="2" t="s">
        <v>100</v>
      </c>
      <c r="S85" s="2">
        <v>96.153846153846104</v>
      </c>
      <c r="T85" s="2" t="s">
        <v>100</v>
      </c>
      <c r="U85">
        <v>79</v>
      </c>
      <c r="V85" t="b">
        <v>1</v>
      </c>
      <c r="W85" t="b">
        <v>1</v>
      </c>
      <c r="X85">
        <v>80</v>
      </c>
    </row>
    <row r="86" spans="1:24" x14ac:dyDescent="0.35">
      <c r="A86" s="1" t="s">
        <v>85</v>
      </c>
      <c r="C86" s="2" t="s">
        <v>8</v>
      </c>
      <c r="D86" s="3">
        <v>45382</v>
      </c>
      <c r="E86">
        <v>57.855764356271898</v>
      </c>
      <c r="F86">
        <v>66.440077551350896</v>
      </c>
      <c r="G86">
        <v>55.700234548273698</v>
      </c>
      <c r="H86">
        <v>61.8483147214911</v>
      </c>
      <c r="I86">
        <v>128503</v>
      </c>
      <c r="J86">
        <v>53.846153846153797</v>
      </c>
      <c r="K86">
        <v>11</v>
      </c>
      <c r="L86" s="2" t="b">
        <v>0</v>
      </c>
      <c r="M86" s="2">
        <v>631</v>
      </c>
      <c r="N86" s="2" t="s">
        <v>100</v>
      </c>
      <c r="O86" s="2" t="b">
        <v>1</v>
      </c>
      <c r="P86" s="2">
        <v>330942</v>
      </c>
      <c r="Q86">
        <v>70.2374273937494</v>
      </c>
      <c r="R86" t="b">
        <v>0</v>
      </c>
      <c r="S86" s="2">
        <v>42.757009345794302</v>
      </c>
      <c r="T86" s="2" t="s">
        <v>100</v>
      </c>
      <c r="U86" s="2" t="s">
        <v>100</v>
      </c>
      <c r="V86" t="b">
        <v>1</v>
      </c>
      <c r="W86" t="b">
        <v>1</v>
      </c>
      <c r="X86">
        <v>51.382488479262598</v>
      </c>
    </row>
    <row r="87" spans="1:24" x14ac:dyDescent="0.35">
      <c r="A87" s="1" t="s">
        <v>86</v>
      </c>
      <c r="C87" s="2" t="s">
        <v>8</v>
      </c>
      <c r="D87" s="3">
        <v>45016</v>
      </c>
      <c r="E87">
        <v>40.285714285714299</v>
      </c>
      <c r="F87">
        <v>57.265153286831101</v>
      </c>
      <c r="G87">
        <v>57.7836347417078</v>
      </c>
      <c r="H87">
        <v>53.951698323243001</v>
      </c>
      <c r="I87">
        <v>114842</v>
      </c>
      <c r="J87">
        <v>53.846153846153797</v>
      </c>
      <c r="K87">
        <v>13</v>
      </c>
      <c r="L87" t="b">
        <v>0</v>
      </c>
      <c r="M87" s="2">
        <v>986.3</v>
      </c>
      <c r="N87" s="2" t="s">
        <v>100</v>
      </c>
      <c r="O87" s="2" t="b">
        <v>1</v>
      </c>
      <c r="P87" s="2">
        <v>229660</v>
      </c>
      <c r="Q87">
        <v>71.154811864450707</v>
      </c>
      <c r="R87" t="b">
        <v>0</v>
      </c>
      <c r="S87">
        <v>44.1860465116279</v>
      </c>
      <c r="T87" s="2" t="s">
        <v>100</v>
      </c>
      <c r="U87" s="2" t="s">
        <v>100</v>
      </c>
      <c r="V87" t="b">
        <v>1</v>
      </c>
      <c r="W87" t="b">
        <v>1</v>
      </c>
      <c r="X87">
        <v>52.293577981651303</v>
      </c>
    </row>
    <row r="88" spans="1:24" x14ac:dyDescent="0.35">
      <c r="A88" s="1" t="s">
        <v>87</v>
      </c>
      <c r="C88" s="2" t="s">
        <v>8</v>
      </c>
      <c r="D88" s="3">
        <v>44651</v>
      </c>
      <c r="E88">
        <v>42.191957153857601</v>
      </c>
      <c r="F88">
        <v>57.660739583228597</v>
      </c>
      <c r="G88">
        <v>54.530342842842799</v>
      </c>
      <c r="H88">
        <v>53.687008525021497</v>
      </c>
      <c r="I88">
        <v>115719</v>
      </c>
      <c r="J88">
        <v>50</v>
      </c>
      <c r="K88">
        <v>13</v>
      </c>
      <c r="L88" t="b">
        <v>0</v>
      </c>
      <c r="M88" s="2">
        <v>2058.1999999999998</v>
      </c>
      <c r="N88" s="2" t="s">
        <v>100</v>
      </c>
      <c r="O88" t="b">
        <v>1</v>
      </c>
      <c r="P88">
        <v>45136.32</v>
      </c>
      <c r="Q88">
        <v>73.521960578472303</v>
      </c>
      <c r="R88" t="b">
        <v>0</v>
      </c>
      <c r="S88">
        <v>48.139534883720899</v>
      </c>
      <c r="T88" s="2" t="s">
        <v>100</v>
      </c>
      <c r="U88">
        <v>81</v>
      </c>
      <c r="V88" t="b">
        <v>1</v>
      </c>
      <c r="W88" t="b">
        <v>1</v>
      </c>
      <c r="X88">
        <v>52.293577981651303</v>
      </c>
    </row>
    <row r="89" spans="1:24" x14ac:dyDescent="0.35">
      <c r="A89" s="1" t="s">
        <v>88</v>
      </c>
      <c r="C89" s="2" t="s">
        <v>8</v>
      </c>
      <c r="D89" s="3">
        <v>44286</v>
      </c>
      <c r="E89">
        <v>27.048975512243899</v>
      </c>
      <c r="F89">
        <v>50.050297819376802</v>
      </c>
      <c r="G89">
        <v>55.2963140056534</v>
      </c>
      <c r="H89" s="2">
        <v>46.766204203979797</v>
      </c>
      <c r="I89" s="2" t="s">
        <v>100</v>
      </c>
      <c r="J89">
        <v>50</v>
      </c>
      <c r="K89">
        <v>11</v>
      </c>
      <c r="L89" s="2" t="b">
        <v>0</v>
      </c>
      <c r="M89" s="2" t="s">
        <v>100</v>
      </c>
      <c r="N89" s="2" t="s">
        <v>100</v>
      </c>
      <c r="O89" s="2" t="b">
        <v>1</v>
      </c>
      <c r="P89" s="2" t="s">
        <v>100</v>
      </c>
      <c r="Q89">
        <v>75.621147307915805</v>
      </c>
      <c r="R89" t="b">
        <v>0</v>
      </c>
      <c r="S89" s="2">
        <v>48.947368421052602</v>
      </c>
      <c r="T89" s="2" t="s">
        <v>100</v>
      </c>
      <c r="U89" s="2" t="s">
        <v>100</v>
      </c>
      <c r="V89" t="b">
        <v>1</v>
      </c>
      <c r="W89" t="b">
        <v>1</v>
      </c>
      <c r="X89">
        <v>52.564102564102498</v>
      </c>
    </row>
    <row r="90" spans="1:24" x14ac:dyDescent="0.35">
      <c r="A90" s="1" t="s">
        <v>89</v>
      </c>
      <c r="C90" s="2" t="s">
        <v>8</v>
      </c>
      <c r="D90" s="3">
        <v>43921</v>
      </c>
      <c r="E90">
        <v>13.935298309088299</v>
      </c>
      <c r="F90">
        <v>50.946390194816097</v>
      </c>
      <c r="G90">
        <v>44.350427350427303</v>
      </c>
      <c r="H90" s="2">
        <v>41.675692120853803</v>
      </c>
      <c r="I90" s="2" t="s">
        <v>100</v>
      </c>
      <c r="J90">
        <v>54.545454545454497</v>
      </c>
      <c r="K90">
        <v>11</v>
      </c>
      <c r="L90" t="b">
        <v>1</v>
      </c>
      <c r="M90" s="2" t="s">
        <v>100</v>
      </c>
      <c r="N90" s="2" t="s">
        <v>100</v>
      </c>
      <c r="O90" t="b">
        <v>1</v>
      </c>
      <c r="P90" s="2" t="s">
        <v>100</v>
      </c>
      <c r="Q90">
        <v>78.200069035947806</v>
      </c>
      <c r="R90" t="b">
        <v>0</v>
      </c>
      <c r="S90">
        <v>49.1666666666666</v>
      </c>
      <c r="T90" s="2" t="s">
        <v>100</v>
      </c>
      <c r="U90">
        <v>79</v>
      </c>
      <c r="V90" t="b">
        <v>1</v>
      </c>
      <c r="W90" t="b">
        <v>1</v>
      </c>
      <c r="X90">
        <v>54.9479166666666</v>
      </c>
    </row>
    <row r="91" spans="1:24" x14ac:dyDescent="0.35">
      <c r="A91" s="1" t="s">
        <v>90</v>
      </c>
      <c r="C91" s="2" t="s">
        <v>8</v>
      </c>
      <c r="D91" s="4">
        <v>43555</v>
      </c>
      <c r="E91" s="2" t="s">
        <v>100</v>
      </c>
      <c r="F91" s="2" t="s">
        <v>100</v>
      </c>
      <c r="G91" s="2" t="s">
        <v>100</v>
      </c>
      <c r="H91" s="2" t="s">
        <v>100</v>
      </c>
      <c r="I91" s="2" t="s">
        <v>100</v>
      </c>
      <c r="J91" s="2" t="s">
        <v>100</v>
      </c>
      <c r="K91" s="2" t="s">
        <v>100</v>
      </c>
      <c r="L91" s="2" t="s">
        <v>100</v>
      </c>
      <c r="M91" s="2" t="s">
        <v>100</v>
      </c>
      <c r="N91" s="2" t="s">
        <v>100</v>
      </c>
      <c r="O91" s="2" t="s">
        <v>100</v>
      </c>
      <c r="P91" s="2" t="s">
        <v>100</v>
      </c>
      <c r="Q91" s="2" t="s">
        <v>100</v>
      </c>
      <c r="R91" s="2" t="s">
        <v>100</v>
      </c>
      <c r="S91" s="2" t="s">
        <v>100</v>
      </c>
      <c r="T91" s="2" t="s">
        <v>100</v>
      </c>
      <c r="U91" s="2" t="s">
        <v>100</v>
      </c>
      <c r="V91" s="2" t="s">
        <v>100</v>
      </c>
      <c r="W91" s="2" t="s">
        <v>100</v>
      </c>
      <c r="X91" s="2" t="s">
        <v>100</v>
      </c>
    </row>
    <row r="92" spans="1:24" x14ac:dyDescent="0.35">
      <c r="A92" s="1" t="s">
        <v>91</v>
      </c>
      <c r="C92" s="2" t="s">
        <v>8</v>
      </c>
      <c r="D92" s="4">
        <v>43190</v>
      </c>
      <c r="E92" s="2" t="s">
        <v>100</v>
      </c>
      <c r="F92" s="2" t="s">
        <v>100</v>
      </c>
      <c r="G92" s="2" t="s">
        <v>100</v>
      </c>
      <c r="H92" s="2" t="s">
        <v>100</v>
      </c>
      <c r="I92" s="2" t="s">
        <v>100</v>
      </c>
      <c r="J92" s="2" t="s">
        <v>100</v>
      </c>
      <c r="K92" s="2" t="s">
        <v>100</v>
      </c>
      <c r="L92" s="2" t="s">
        <v>100</v>
      </c>
      <c r="M92" s="2" t="s">
        <v>100</v>
      </c>
      <c r="N92" s="2" t="s">
        <v>100</v>
      </c>
      <c r="O92" s="2" t="s">
        <v>100</v>
      </c>
      <c r="P92" s="2" t="s">
        <v>100</v>
      </c>
      <c r="Q92" s="2" t="s">
        <v>100</v>
      </c>
      <c r="R92" s="2" t="s">
        <v>100</v>
      </c>
      <c r="S92" s="2" t="s">
        <v>100</v>
      </c>
      <c r="T92" s="2" t="s">
        <v>100</v>
      </c>
      <c r="U92" s="2" t="s">
        <v>100</v>
      </c>
      <c r="V92" s="2" t="s">
        <v>100</v>
      </c>
      <c r="W92" s="2" t="s">
        <v>100</v>
      </c>
      <c r="X92" s="2" t="s">
        <v>100</v>
      </c>
    </row>
    <row r="93" spans="1:24" x14ac:dyDescent="0.35">
      <c r="A93" s="1" t="s">
        <v>92</v>
      </c>
      <c r="C93" s="2" t="s">
        <v>8</v>
      </c>
      <c r="D93" s="4">
        <v>42825</v>
      </c>
      <c r="E93" s="2" t="s">
        <v>100</v>
      </c>
      <c r="F93" s="2" t="s">
        <v>100</v>
      </c>
      <c r="G93" s="2" t="s">
        <v>100</v>
      </c>
      <c r="H93" s="2" t="s">
        <v>100</v>
      </c>
      <c r="I93" s="2" t="s">
        <v>100</v>
      </c>
      <c r="J93" s="2" t="s">
        <v>100</v>
      </c>
      <c r="K93" s="2" t="s">
        <v>100</v>
      </c>
      <c r="L93" s="2" t="s">
        <v>100</v>
      </c>
      <c r="M93" s="2" t="s">
        <v>100</v>
      </c>
      <c r="N93" s="2" t="s">
        <v>100</v>
      </c>
      <c r="O93" s="2" t="s">
        <v>100</v>
      </c>
      <c r="P93" s="2" t="s">
        <v>100</v>
      </c>
      <c r="Q93" s="2" t="s">
        <v>100</v>
      </c>
      <c r="R93" s="2" t="s">
        <v>100</v>
      </c>
      <c r="S93" s="2" t="s">
        <v>100</v>
      </c>
      <c r="T93" s="2" t="s">
        <v>100</v>
      </c>
      <c r="U93" s="2" t="s">
        <v>100</v>
      </c>
      <c r="V93" s="2" t="s">
        <v>100</v>
      </c>
      <c r="W93" s="2" t="s">
        <v>100</v>
      </c>
      <c r="X93" s="2" t="s">
        <v>100</v>
      </c>
    </row>
    <row r="94" spans="1:24" x14ac:dyDescent="0.35">
      <c r="A94" s="1" t="s">
        <v>93</v>
      </c>
      <c r="C94" s="2" t="s">
        <v>8</v>
      </c>
      <c r="D94" s="4">
        <v>42460</v>
      </c>
      <c r="E94" s="2" t="s">
        <v>100</v>
      </c>
      <c r="F94" s="2" t="s">
        <v>100</v>
      </c>
      <c r="G94" s="2" t="s">
        <v>100</v>
      </c>
      <c r="H94" s="2" t="s">
        <v>100</v>
      </c>
      <c r="I94" s="2" t="s">
        <v>100</v>
      </c>
      <c r="J94" s="2" t="s">
        <v>100</v>
      </c>
      <c r="K94" s="2" t="s">
        <v>100</v>
      </c>
      <c r="L94" s="2" t="s">
        <v>100</v>
      </c>
      <c r="M94" s="2" t="s">
        <v>100</v>
      </c>
      <c r="N94" s="2" t="s">
        <v>100</v>
      </c>
      <c r="O94" s="2" t="s">
        <v>100</v>
      </c>
      <c r="P94" s="2" t="s">
        <v>100</v>
      </c>
      <c r="Q94" s="2" t="s">
        <v>100</v>
      </c>
      <c r="R94" s="2" t="s">
        <v>100</v>
      </c>
      <c r="S94" s="2" t="s">
        <v>100</v>
      </c>
      <c r="T94" s="2" t="s">
        <v>100</v>
      </c>
      <c r="U94" s="2" t="s">
        <v>100</v>
      </c>
      <c r="V94" s="2" t="s">
        <v>100</v>
      </c>
      <c r="W94" s="2" t="s">
        <v>100</v>
      </c>
      <c r="X94" s="2" t="s">
        <v>100</v>
      </c>
    </row>
    <row r="95" spans="1:24" x14ac:dyDescent="0.35">
      <c r="A95" s="1" t="s">
        <v>94</v>
      </c>
      <c r="C95" s="2" t="s">
        <v>8</v>
      </c>
      <c r="D95" s="4">
        <v>42094</v>
      </c>
      <c r="E95" s="2" t="s">
        <v>100</v>
      </c>
      <c r="F95" s="2" t="s">
        <v>100</v>
      </c>
      <c r="G95" s="2" t="s">
        <v>100</v>
      </c>
      <c r="H95" s="2" t="s">
        <v>100</v>
      </c>
      <c r="I95" s="2" t="s">
        <v>100</v>
      </c>
      <c r="J95" s="2" t="s">
        <v>100</v>
      </c>
      <c r="K95" s="2" t="s">
        <v>100</v>
      </c>
      <c r="L95" s="2" t="s">
        <v>100</v>
      </c>
      <c r="M95" s="2" t="s">
        <v>100</v>
      </c>
      <c r="N95" s="2" t="s">
        <v>100</v>
      </c>
      <c r="O95" s="2" t="s">
        <v>100</v>
      </c>
      <c r="P95" s="2" t="s">
        <v>100</v>
      </c>
      <c r="Q95" s="2" t="s">
        <v>100</v>
      </c>
      <c r="R95" s="2" t="s">
        <v>100</v>
      </c>
      <c r="S95" s="2" t="s">
        <v>100</v>
      </c>
      <c r="T95" s="2" t="s">
        <v>100</v>
      </c>
      <c r="U95" s="2" t="s">
        <v>100</v>
      </c>
      <c r="V95" s="2" t="s">
        <v>100</v>
      </c>
      <c r="W95" s="2" t="s">
        <v>100</v>
      </c>
      <c r="X95" s="2" t="s">
        <v>100</v>
      </c>
    </row>
    <row r="96" spans="1:24" x14ac:dyDescent="0.35">
      <c r="A96" s="1" t="s">
        <v>95</v>
      </c>
      <c r="C96" s="2" t="s">
        <v>9</v>
      </c>
      <c r="D96" s="3">
        <v>45657</v>
      </c>
      <c r="E96">
        <v>63.986762604971403</v>
      </c>
      <c r="F96">
        <v>85.503406132423393</v>
      </c>
      <c r="G96">
        <v>74.577134323866304</v>
      </c>
      <c r="H96">
        <v>77.460661463984593</v>
      </c>
      <c r="I96">
        <v>4638</v>
      </c>
      <c r="J96">
        <v>63.636363636363598</v>
      </c>
      <c r="K96">
        <v>8</v>
      </c>
      <c r="L96" s="2" t="b">
        <v>1</v>
      </c>
      <c r="M96" s="2" t="s">
        <v>100</v>
      </c>
      <c r="N96" s="2" t="s">
        <v>100</v>
      </c>
      <c r="O96" s="2" t="b">
        <v>1</v>
      </c>
      <c r="P96" s="2" t="s">
        <v>100</v>
      </c>
      <c r="Q96">
        <v>70.2374273937494</v>
      </c>
      <c r="R96" t="b">
        <v>0</v>
      </c>
      <c r="S96" s="2">
        <v>97.344110854503398</v>
      </c>
      <c r="T96" s="2" t="s">
        <v>100</v>
      </c>
      <c r="U96" s="2" t="s">
        <v>100</v>
      </c>
      <c r="V96" t="b">
        <v>1</v>
      </c>
      <c r="W96" t="b">
        <v>1</v>
      </c>
      <c r="X96">
        <v>51.905829596412502</v>
      </c>
    </row>
    <row r="97" spans="1:24" x14ac:dyDescent="0.35">
      <c r="A97" s="1" t="s">
        <v>96</v>
      </c>
      <c r="C97" s="2" t="s">
        <v>9</v>
      </c>
      <c r="D97" s="3">
        <v>45291</v>
      </c>
      <c r="E97">
        <v>65.495263641196502</v>
      </c>
      <c r="F97">
        <v>80.302005416262304</v>
      </c>
      <c r="G97">
        <v>59.418718856720602</v>
      </c>
      <c r="H97">
        <v>68.583353394228794</v>
      </c>
      <c r="I97">
        <v>4001</v>
      </c>
      <c r="J97">
        <v>50</v>
      </c>
      <c r="K97">
        <v>9</v>
      </c>
      <c r="L97" s="2" t="b">
        <v>1</v>
      </c>
      <c r="M97" s="2" t="s">
        <v>100</v>
      </c>
      <c r="N97" s="2" t="s">
        <v>100</v>
      </c>
      <c r="O97" s="2" t="b">
        <v>1</v>
      </c>
      <c r="P97" s="2" t="s">
        <v>100</v>
      </c>
      <c r="Q97">
        <v>71.154811864450707</v>
      </c>
      <c r="R97" t="b">
        <v>0</v>
      </c>
      <c r="S97" s="2">
        <v>97.660818713450197</v>
      </c>
      <c r="T97" s="2" t="s">
        <v>100</v>
      </c>
      <c r="U97" s="2" t="s">
        <v>100</v>
      </c>
      <c r="V97" t="b">
        <v>0</v>
      </c>
      <c r="W97" t="b">
        <v>1</v>
      </c>
      <c r="X97">
        <v>52.423900789176997</v>
      </c>
    </row>
    <row r="98" spans="1:24" x14ac:dyDescent="0.35">
      <c r="A98" s="1" t="s">
        <v>97</v>
      </c>
      <c r="C98" s="2" t="s">
        <v>9</v>
      </c>
      <c r="D98" s="3">
        <v>44926</v>
      </c>
      <c r="E98">
        <v>33.806876321713503</v>
      </c>
      <c r="F98">
        <v>62.502915935675603</v>
      </c>
      <c r="G98">
        <v>62.198542292292203</v>
      </c>
      <c r="H98">
        <v>58.3785627352567</v>
      </c>
      <c r="I98">
        <v>4416</v>
      </c>
      <c r="J98">
        <v>60</v>
      </c>
      <c r="K98">
        <v>9</v>
      </c>
      <c r="L98" t="b">
        <v>1</v>
      </c>
      <c r="M98" s="2" t="s">
        <v>100</v>
      </c>
      <c r="N98" s="2" t="s">
        <v>100</v>
      </c>
      <c r="O98" s="2" t="b">
        <v>1</v>
      </c>
      <c r="P98" s="2" t="s">
        <v>100</v>
      </c>
      <c r="Q98">
        <v>73.521960578472303</v>
      </c>
      <c r="R98" t="b">
        <v>0</v>
      </c>
      <c r="S98">
        <v>97.911694510739807</v>
      </c>
      <c r="T98" s="2" t="s">
        <v>100</v>
      </c>
      <c r="U98" s="2" t="s">
        <v>100</v>
      </c>
      <c r="V98" t="b">
        <v>0</v>
      </c>
      <c r="W98" t="b">
        <v>1</v>
      </c>
      <c r="X98">
        <v>53.518728717366599</v>
      </c>
    </row>
    <row r="99" spans="1:24" x14ac:dyDescent="0.35">
      <c r="A99" s="1" t="s">
        <v>98</v>
      </c>
      <c r="C99" s="2" t="s">
        <v>9</v>
      </c>
      <c r="D99" s="3">
        <v>44561</v>
      </c>
      <c r="E99">
        <v>33.179868116597397</v>
      </c>
      <c r="F99">
        <v>65.4673707297802</v>
      </c>
      <c r="G99">
        <v>53.615701220226697</v>
      </c>
      <c r="H99">
        <v>55.501237946151697</v>
      </c>
      <c r="I99">
        <v>5210</v>
      </c>
      <c r="J99">
        <v>60</v>
      </c>
      <c r="K99">
        <v>9</v>
      </c>
      <c r="L99" s="2" t="b">
        <v>1</v>
      </c>
      <c r="M99" s="2" t="s">
        <v>100</v>
      </c>
      <c r="N99" s="2" t="s">
        <v>100</v>
      </c>
      <c r="O99" s="2" t="b">
        <v>1</v>
      </c>
      <c r="P99" s="2" t="s">
        <v>100</v>
      </c>
      <c r="Q99">
        <v>75.621147307915805</v>
      </c>
      <c r="R99" t="b">
        <v>0</v>
      </c>
      <c r="S99" s="2">
        <v>98.025387870239697</v>
      </c>
      <c r="T99" s="2" t="s">
        <v>100</v>
      </c>
      <c r="U99" s="2" t="s">
        <v>100</v>
      </c>
      <c r="V99" t="b">
        <v>0</v>
      </c>
      <c r="W99" t="b">
        <v>1</v>
      </c>
      <c r="X99">
        <v>54.298941798941797</v>
      </c>
    </row>
    <row r="100" spans="1:24" x14ac:dyDescent="0.35">
      <c r="A100" s="1" t="s">
        <v>99</v>
      </c>
      <c r="C100" s="2" t="s">
        <v>9</v>
      </c>
      <c r="D100" s="3">
        <v>44196</v>
      </c>
      <c r="E100">
        <v>29.348311873665601</v>
      </c>
      <c r="F100">
        <v>68.352405631667096</v>
      </c>
      <c r="G100">
        <v>65.167684167684101</v>
      </c>
      <c r="H100">
        <v>61.464305563674799</v>
      </c>
      <c r="I100">
        <v>13856</v>
      </c>
      <c r="J100">
        <v>55.5555555555555</v>
      </c>
      <c r="K100">
        <v>9</v>
      </c>
      <c r="L100" t="b">
        <v>1</v>
      </c>
      <c r="M100" s="2" t="s">
        <v>100</v>
      </c>
      <c r="N100" s="2" t="s">
        <v>100</v>
      </c>
      <c r="O100" s="2" t="b">
        <v>1</v>
      </c>
      <c r="P100" s="2" t="s">
        <v>100</v>
      </c>
      <c r="Q100">
        <v>78.200069035947806</v>
      </c>
      <c r="R100" t="b">
        <v>0</v>
      </c>
      <c r="S100" s="2">
        <v>98.211382113821102</v>
      </c>
      <c r="T100" s="2" t="s">
        <v>100</v>
      </c>
      <c r="U100" s="2" t="s">
        <v>100</v>
      </c>
      <c r="V100" t="b">
        <v>0</v>
      </c>
      <c r="W100" t="b">
        <v>1</v>
      </c>
      <c r="X100">
        <v>55.097451274362797</v>
      </c>
    </row>
    <row r="101" spans="1:24" x14ac:dyDescent="0.35">
      <c r="C101" s="2" t="s">
        <v>9</v>
      </c>
      <c r="D101" s="3">
        <v>43830</v>
      </c>
      <c r="E101">
        <v>22.2191658280219</v>
      </c>
      <c r="F101">
        <v>65.106532143248103</v>
      </c>
      <c r="G101">
        <v>56.339626999249298</v>
      </c>
      <c r="H101">
        <v>55.096350377330403</v>
      </c>
      <c r="I101">
        <v>19808</v>
      </c>
      <c r="J101">
        <v>45.454545454545404</v>
      </c>
      <c r="K101">
        <v>9</v>
      </c>
      <c r="L101" t="b">
        <v>1</v>
      </c>
      <c r="M101" s="2" t="s">
        <v>100</v>
      </c>
      <c r="N101" s="2" t="s">
        <v>100</v>
      </c>
      <c r="O101" s="2" t="b">
        <v>1</v>
      </c>
      <c r="P101" s="2" t="s">
        <v>100</v>
      </c>
      <c r="Q101">
        <v>80.269779293880703</v>
      </c>
      <c r="R101" s="2" t="s">
        <v>100</v>
      </c>
      <c r="S101">
        <v>94.034707158351395</v>
      </c>
      <c r="T101" s="2" t="s">
        <v>100</v>
      </c>
      <c r="U101" s="2" t="s">
        <v>100</v>
      </c>
      <c r="V101" t="b">
        <v>0</v>
      </c>
      <c r="W101" t="b">
        <v>1</v>
      </c>
      <c r="X101">
        <v>56.822612085769897</v>
      </c>
    </row>
    <row r="102" spans="1:24" x14ac:dyDescent="0.35">
      <c r="C102" s="2" t="s">
        <v>9</v>
      </c>
      <c r="D102" s="3">
        <v>43465</v>
      </c>
      <c r="E102">
        <v>16.009162303664901</v>
      </c>
      <c r="F102">
        <v>74.240196651313596</v>
      </c>
      <c r="G102">
        <v>42.885648037463298</v>
      </c>
      <c r="H102">
        <v>51.648179671195102</v>
      </c>
      <c r="I102">
        <v>19741</v>
      </c>
      <c r="J102">
        <v>60</v>
      </c>
      <c r="K102">
        <v>9</v>
      </c>
      <c r="L102" s="2" t="b">
        <v>0</v>
      </c>
      <c r="M102" s="2" t="s">
        <v>100</v>
      </c>
      <c r="N102" s="2" t="s">
        <v>100</v>
      </c>
      <c r="O102" s="2" t="b">
        <v>1</v>
      </c>
      <c r="P102" s="2" t="s">
        <v>100</v>
      </c>
      <c r="Q102">
        <v>82.220517481419506</v>
      </c>
      <c r="R102" s="2" t="s">
        <v>100</v>
      </c>
      <c r="S102">
        <v>93.298969072164894</v>
      </c>
      <c r="T102" s="2" t="s">
        <v>100</v>
      </c>
      <c r="U102" s="2" t="s">
        <v>100</v>
      </c>
      <c r="V102" t="b">
        <v>0</v>
      </c>
      <c r="W102" t="b">
        <v>1</v>
      </c>
      <c r="X102">
        <v>57.093821510297403</v>
      </c>
    </row>
    <row r="103" spans="1:24" x14ac:dyDescent="0.35">
      <c r="C103" s="2" t="s">
        <v>9</v>
      </c>
      <c r="D103" s="3">
        <v>43100</v>
      </c>
      <c r="E103">
        <v>18.602693602693599</v>
      </c>
      <c r="F103">
        <v>64.092692461170301</v>
      </c>
      <c r="G103">
        <v>74.748437252776498</v>
      </c>
      <c r="H103">
        <v>62.708564245569697</v>
      </c>
      <c r="I103">
        <v>22662</v>
      </c>
      <c r="J103">
        <v>55.5555555555555</v>
      </c>
      <c r="K103">
        <v>9</v>
      </c>
      <c r="L103" s="2" t="b">
        <v>0</v>
      </c>
      <c r="M103" s="2" t="s">
        <v>100</v>
      </c>
      <c r="N103" s="2" t="s">
        <v>100</v>
      </c>
      <c r="O103" s="2" t="b">
        <v>1</v>
      </c>
      <c r="P103" s="2" t="s">
        <v>100</v>
      </c>
      <c r="Q103">
        <v>85.960763534790999</v>
      </c>
      <c r="R103" s="2" t="s">
        <v>100</v>
      </c>
      <c r="S103" s="2">
        <v>92.354740061162104</v>
      </c>
      <c r="T103" s="2" t="s">
        <v>100</v>
      </c>
      <c r="U103" s="2" t="s">
        <v>100</v>
      </c>
      <c r="V103" t="b">
        <v>0</v>
      </c>
      <c r="W103" t="b">
        <v>1</v>
      </c>
      <c r="X103">
        <v>58.005249343831998</v>
      </c>
    </row>
    <row r="104" spans="1:24" x14ac:dyDescent="0.35">
      <c r="C104" s="2" t="s">
        <v>9</v>
      </c>
      <c r="D104" s="3">
        <v>42735</v>
      </c>
      <c r="E104">
        <v>28.378527946873199</v>
      </c>
      <c r="F104">
        <v>63.027578541962903</v>
      </c>
      <c r="G104">
        <v>64.277888171330801</v>
      </c>
      <c r="H104">
        <v>58.796234071915002</v>
      </c>
      <c r="I104">
        <v>25518</v>
      </c>
      <c r="J104">
        <v>44.4444444444444</v>
      </c>
      <c r="K104">
        <v>9</v>
      </c>
      <c r="L104" t="b">
        <v>0</v>
      </c>
      <c r="M104" s="2" t="s">
        <v>100</v>
      </c>
      <c r="N104" s="2" t="s">
        <v>100</v>
      </c>
      <c r="O104" s="2" t="b">
        <v>1</v>
      </c>
      <c r="P104" s="2" t="s">
        <v>100</v>
      </c>
      <c r="Q104">
        <v>86.761782529177495</v>
      </c>
      <c r="R104" s="2" t="s">
        <v>100</v>
      </c>
      <c r="S104">
        <v>92.124542124542103</v>
      </c>
      <c r="T104" s="2" t="s">
        <v>100</v>
      </c>
      <c r="U104" s="2" t="s">
        <v>100</v>
      </c>
      <c r="V104" t="b">
        <v>0</v>
      </c>
      <c r="W104" t="b">
        <v>1</v>
      </c>
      <c r="X104">
        <v>57.028753993610202</v>
      </c>
    </row>
    <row r="105" spans="1:24" x14ac:dyDescent="0.35">
      <c r="C105" s="2" t="s">
        <v>9</v>
      </c>
      <c r="D105" s="3">
        <v>42369</v>
      </c>
      <c r="E105">
        <v>26.4607279693486</v>
      </c>
      <c r="F105">
        <v>53.216726524494902</v>
      </c>
      <c r="G105">
        <v>75.876714118410106</v>
      </c>
      <c r="H105">
        <v>59.987867514024003</v>
      </c>
      <c r="I105">
        <v>24795</v>
      </c>
      <c r="J105">
        <v>60</v>
      </c>
      <c r="K105">
        <v>8</v>
      </c>
      <c r="L105" s="2" t="b">
        <v>0</v>
      </c>
      <c r="M105" s="2" t="s">
        <v>100</v>
      </c>
      <c r="N105" s="2" t="s">
        <v>100</v>
      </c>
      <c r="O105" t="b">
        <v>1</v>
      </c>
      <c r="P105" s="2" t="s">
        <v>100</v>
      </c>
      <c r="Q105">
        <v>87.208323109393802</v>
      </c>
      <c r="R105" s="2" t="s">
        <v>100</v>
      </c>
      <c r="S105">
        <v>70.616113744075804</v>
      </c>
      <c r="T105" s="2" t="s">
        <v>100</v>
      </c>
      <c r="U105" s="2" t="s">
        <v>100</v>
      </c>
      <c r="V105" t="b">
        <v>0</v>
      </c>
      <c r="W105" t="b">
        <v>1</v>
      </c>
      <c r="X105">
        <v>0</v>
      </c>
    </row>
    <row r="106" spans="1:24" x14ac:dyDescent="0.35">
      <c r="C106" s="2" t="s">
        <v>10</v>
      </c>
      <c r="D106" s="3">
        <v>46018</v>
      </c>
      <c r="E106">
        <v>55.419716633201801</v>
      </c>
      <c r="F106">
        <v>46.9105749496253</v>
      </c>
      <c r="G106">
        <v>66.947870979532098</v>
      </c>
      <c r="H106">
        <v>54.953466385458803</v>
      </c>
      <c r="I106">
        <v>50617</v>
      </c>
      <c r="J106">
        <v>72.727272727272705</v>
      </c>
      <c r="K106">
        <v>9</v>
      </c>
      <c r="L106" t="b">
        <v>1</v>
      </c>
      <c r="M106" s="2" t="s">
        <v>100</v>
      </c>
      <c r="N106" s="2" t="s">
        <v>100</v>
      </c>
      <c r="O106" t="b">
        <v>1</v>
      </c>
      <c r="P106" s="2" t="s">
        <v>100</v>
      </c>
      <c r="Q106">
        <v>69.909916611739803</v>
      </c>
      <c r="R106" t="b">
        <v>0</v>
      </c>
      <c r="S106">
        <v>17.0731707317073</v>
      </c>
      <c r="T106">
        <v>0.55000000000000004</v>
      </c>
      <c r="U106" s="2" t="s">
        <v>100</v>
      </c>
      <c r="V106" t="b">
        <v>1</v>
      </c>
      <c r="W106" t="b">
        <v>1</v>
      </c>
      <c r="X106">
        <v>53.571428571428498</v>
      </c>
    </row>
    <row r="107" spans="1:24" x14ac:dyDescent="0.35">
      <c r="C107" s="2" t="s">
        <v>10</v>
      </c>
      <c r="D107" s="3">
        <v>45654</v>
      </c>
      <c r="E107">
        <v>52.063075655290902</v>
      </c>
      <c r="F107">
        <v>48.2072599421397</v>
      </c>
      <c r="G107">
        <v>58.168110921378798</v>
      </c>
      <c r="H107">
        <v>52.079693926536898</v>
      </c>
      <c r="I107">
        <v>51927</v>
      </c>
      <c r="J107">
        <v>81.818181818181799</v>
      </c>
      <c r="K107">
        <v>9</v>
      </c>
      <c r="L107" t="b">
        <v>1</v>
      </c>
      <c r="M107" s="2" t="s">
        <v>100</v>
      </c>
      <c r="N107" s="2" t="s">
        <v>100</v>
      </c>
      <c r="O107" t="b">
        <v>1</v>
      </c>
      <c r="P107" s="2" t="s">
        <v>100</v>
      </c>
      <c r="Q107">
        <v>70.2374273937494</v>
      </c>
      <c r="R107" t="b">
        <v>0</v>
      </c>
      <c r="S107">
        <v>17.168674698795101</v>
      </c>
      <c r="T107">
        <v>0.88</v>
      </c>
      <c r="U107" s="2" t="s">
        <v>100</v>
      </c>
      <c r="V107" t="b">
        <v>1</v>
      </c>
      <c r="W107" t="b">
        <v>1</v>
      </c>
      <c r="X107">
        <v>53.550295857988097</v>
      </c>
    </row>
    <row r="108" spans="1:24" x14ac:dyDescent="0.35">
      <c r="C108" s="2" t="s">
        <v>10</v>
      </c>
      <c r="D108" s="3">
        <v>45290</v>
      </c>
      <c r="E108">
        <v>49.617788739793603</v>
      </c>
      <c r="F108">
        <v>46.723992339822303</v>
      </c>
      <c r="G108">
        <v>63.248362302777998</v>
      </c>
      <c r="H108">
        <v>51.970450602645997</v>
      </c>
      <c r="I108">
        <v>52845</v>
      </c>
      <c r="J108">
        <v>77.7777777777777</v>
      </c>
      <c r="K108">
        <v>8</v>
      </c>
      <c r="L108" t="b">
        <v>1</v>
      </c>
      <c r="M108" s="2" t="s">
        <v>100</v>
      </c>
      <c r="N108" s="2" t="s">
        <v>100</v>
      </c>
      <c r="O108" t="b">
        <v>1</v>
      </c>
      <c r="P108" s="2" t="s">
        <v>100</v>
      </c>
      <c r="Q108">
        <v>71.154811864450707</v>
      </c>
      <c r="R108" t="b">
        <v>0</v>
      </c>
      <c r="S108">
        <v>16.867469879518101</v>
      </c>
      <c r="T108">
        <v>0.76500000000000001</v>
      </c>
      <c r="U108" s="2" t="s">
        <v>100</v>
      </c>
      <c r="V108" t="b">
        <v>1</v>
      </c>
      <c r="W108" t="b">
        <v>1</v>
      </c>
      <c r="X108">
        <v>55.294117647058798</v>
      </c>
    </row>
    <row r="109" spans="1:24" x14ac:dyDescent="0.35">
      <c r="C109" s="2" t="s">
        <v>10</v>
      </c>
      <c r="D109" s="3">
        <v>44919</v>
      </c>
      <c r="E109">
        <v>53.527523431981997</v>
      </c>
      <c r="F109">
        <v>51.859714377391803</v>
      </c>
      <c r="G109">
        <v>69.669106606606604</v>
      </c>
      <c r="H109">
        <v>57.026320584335402</v>
      </c>
      <c r="I109">
        <v>54755</v>
      </c>
      <c r="J109">
        <v>77.7777777777777</v>
      </c>
      <c r="K109">
        <v>8</v>
      </c>
      <c r="L109" t="b">
        <v>1</v>
      </c>
      <c r="M109" s="2" t="s">
        <v>100</v>
      </c>
      <c r="N109" s="2" t="s">
        <v>100</v>
      </c>
      <c r="O109" t="b">
        <v>1</v>
      </c>
      <c r="P109" s="2" t="s">
        <v>100</v>
      </c>
      <c r="Q109">
        <v>73.521960578472303</v>
      </c>
      <c r="R109" t="b">
        <v>0</v>
      </c>
      <c r="S109">
        <v>18.125</v>
      </c>
      <c r="T109">
        <v>0.7</v>
      </c>
      <c r="U109" s="2" t="s">
        <v>100</v>
      </c>
      <c r="V109" t="b">
        <v>1</v>
      </c>
      <c r="W109" t="b">
        <v>1</v>
      </c>
      <c r="X109">
        <v>58.083832335329298</v>
      </c>
    </row>
    <row r="110" spans="1:24" x14ac:dyDescent="0.35">
      <c r="C110" s="2" t="s">
        <v>10</v>
      </c>
      <c r="D110" s="3">
        <v>44555</v>
      </c>
      <c r="E110">
        <v>58.785470429198902</v>
      </c>
      <c r="F110">
        <v>26.356260655651599</v>
      </c>
      <c r="G110">
        <v>46.315466675417099</v>
      </c>
      <c r="H110">
        <v>42.421048257042202</v>
      </c>
      <c r="I110">
        <v>56602</v>
      </c>
      <c r="J110">
        <v>66.6666666666666</v>
      </c>
      <c r="K110">
        <v>8</v>
      </c>
      <c r="L110" t="b">
        <v>1</v>
      </c>
      <c r="M110" s="2" t="s">
        <v>100</v>
      </c>
      <c r="N110" s="2" t="s">
        <v>100</v>
      </c>
      <c r="O110" t="b">
        <v>1</v>
      </c>
      <c r="P110" s="2" t="s">
        <v>100</v>
      </c>
      <c r="Q110">
        <v>75.621147307915805</v>
      </c>
      <c r="R110" t="b">
        <v>0</v>
      </c>
      <c r="S110">
        <v>17.2535211267605</v>
      </c>
      <c r="T110">
        <v>0.98</v>
      </c>
      <c r="U110" s="2" t="s">
        <v>100</v>
      </c>
      <c r="V110" t="b">
        <v>0</v>
      </c>
      <c r="W110" t="b">
        <v>1</v>
      </c>
      <c r="X110">
        <v>58.6666666666666</v>
      </c>
    </row>
    <row r="111" spans="1:24" x14ac:dyDescent="0.35">
      <c r="C111" s="2" t="s">
        <v>10</v>
      </c>
      <c r="D111" s="3">
        <v>44191</v>
      </c>
      <c r="E111">
        <v>65.920055727747993</v>
      </c>
      <c r="F111">
        <v>42.108948994916098</v>
      </c>
      <c r="G111">
        <v>53.9816849816849</v>
      </c>
      <c r="H111">
        <v>53.184942462015201</v>
      </c>
      <c r="I111">
        <v>50373</v>
      </c>
      <c r="J111">
        <v>75</v>
      </c>
      <c r="K111">
        <v>8</v>
      </c>
      <c r="L111" t="b">
        <v>1</v>
      </c>
      <c r="M111" s="2" t="s">
        <v>100</v>
      </c>
      <c r="N111" s="2" t="s">
        <v>100</v>
      </c>
      <c r="O111" t="b">
        <v>1</v>
      </c>
      <c r="P111" s="2" t="s">
        <v>100</v>
      </c>
      <c r="Q111">
        <v>78.200069035947806</v>
      </c>
      <c r="R111" t="b">
        <v>0</v>
      </c>
      <c r="S111">
        <v>72.131147540983605</v>
      </c>
      <c r="T111">
        <v>0.81</v>
      </c>
      <c r="U111" s="2" t="s">
        <v>100</v>
      </c>
      <c r="V111" t="b">
        <v>0</v>
      </c>
      <c r="W111" t="b">
        <v>1</v>
      </c>
      <c r="X111">
        <v>61.231884057971001</v>
      </c>
    </row>
    <row r="112" spans="1:24" x14ac:dyDescent="0.35">
      <c r="C112" s="2" t="s">
        <v>10</v>
      </c>
      <c r="D112" s="3">
        <v>43827</v>
      </c>
      <c r="E112">
        <v>62.445573145534397</v>
      </c>
      <c r="F112">
        <v>41.216515967638301</v>
      </c>
      <c r="G112">
        <v>60.783417056411999</v>
      </c>
      <c r="H112">
        <v>53.414276852131103</v>
      </c>
      <c r="I112">
        <v>50532</v>
      </c>
      <c r="J112">
        <v>80</v>
      </c>
      <c r="K112">
        <v>8</v>
      </c>
      <c r="L112" t="b">
        <v>1</v>
      </c>
      <c r="M112" s="2" t="s">
        <v>100</v>
      </c>
      <c r="N112" s="2" t="s">
        <v>100</v>
      </c>
      <c r="O112" t="b">
        <v>1</v>
      </c>
      <c r="P112" s="2" t="s">
        <v>100</v>
      </c>
      <c r="Q112">
        <v>80.269779293880703</v>
      </c>
      <c r="R112" s="2" t="s">
        <v>100</v>
      </c>
      <c r="S112">
        <v>71.100917431192599</v>
      </c>
      <c r="T112">
        <v>0.83</v>
      </c>
      <c r="U112" s="2" t="s">
        <v>100</v>
      </c>
      <c r="V112" t="b">
        <v>0</v>
      </c>
      <c r="W112" t="b">
        <v>1</v>
      </c>
      <c r="X112">
        <v>57.438016528925601</v>
      </c>
    </row>
    <row r="113" spans="3:24" x14ac:dyDescent="0.35">
      <c r="C113" s="2" t="s">
        <v>10</v>
      </c>
      <c r="D113" s="3">
        <v>43463</v>
      </c>
      <c r="E113">
        <v>56.515837104072403</v>
      </c>
      <c r="F113">
        <v>35.293410253626199</v>
      </c>
      <c r="G113">
        <v>49.682631844590901</v>
      </c>
      <c r="H113">
        <v>46.1498869337671</v>
      </c>
      <c r="I113">
        <v>52183</v>
      </c>
      <c r="J113">
        <v>70</v>
      </c>
      <c r="K113">
        <v>9</v>
      </c>
      <c r="L113" t="b">
        <v>1</v>
      </c>
      <c r="M113" s="2" t="s">
        <v>100</v>
      </c>
      <c r="N113" s="2" t="s">
        <v>100</v>
      </c>
      <c r="O113" t="b">
        <v>1</v>
      </c>
      <c r="P113" s="2" t="s">
        <v>100</v>
      </c>
      <c r="Q113">
        <v>82.220517481419506</v>
      </c>
      <c r="R113" s="2" t="s">
        <v>100</v>
      </c>
      <c r="S113">
        <v>74.242424242424207</v>
      </c>
      <c r="T113">
        <v>1.08</v>
      </c>
      <c r="U113" s="2" t="s">
        <v>100</v>
      </c>
      <c r="V113" t="b">
        <v>0</v>
      </c>
      <c r="W113" t="b">
        <v>1</v>
      </c>
      <c r="X113">
        <v>58.256880733944897</v>
      </c>
    </row>
    <row r="114" spans="3:24" x14ac:dyDescent="0.35">
      <c r="C114" s="2" t="s">
        <v>10</v>
      </c>
      <c r="D114" s="3">
        <v>43099</v>
      </c>
      <c r="E114">
        <v>58.489489489489401</v>
      </c>
      <c r="F114">
        <v>32.166870616718597</v>
      </c>
      <c r="G114">
        <v>69.575867923949104</v>
      </c>
      <c r="H114">
        <v>50.691457299951097</v>
      </c>
      <c r="I114">
        <v>56850</v>
      </c>
      <c r="J114">
        <v>77.7777777777777</v>
      </c>
      <c r="K114">
        <v>8</v>
      </c>
      <c r="L114" t="b">
        <v>1</v>
      </c>
      <c r="M114" s="2" t="s">
        <v>100</v>
      </c>
      <c r="N114" s="2" t="s">
        <v>100</v>
      </c>
      <c r="O114" t="b">
        <v>1</v>
      </c>
      <c r="P114" s="2" t="s">
        <v>100</v>
      </c>
      <c r="Q114">
        <v>85.960763534790999</v>
      </c>
      <c r="R114" s="2" t="s">
        <v>100</v>
      </c>
      <c r="S114">
        <v>50.595238095238102</v>
      </c>
      <c r="T114">
        <v>0.7</v>
      </c>
      <c r="U114" s="2" t="s">
        <v>100</v>
      </c>
      <c r="V114" t="b">
        <v>0</v>
      </c>
      <c r="W114" t="b">
        <v>1</v>
      </c>
      <c r="X114">
        <v>0</v>
      </c>
    </row>
    <row r="115" spans="3:24" x14ac:dyDescent="0.35">
      <c r="C115" s="2" t="s">
        <v>10</v>
      </c>
      <c r="D115" s="3">
        <v>42728</v>
      </c>
      <c r="E115">
        <v>57.715349764944897</v>
      </c>
      <c r="F115">
        <v>21.072134076525199</v>
      </c>
      <c r="G115">
        <v>40.907572997736899</v>
      </c>
      <c r="H115">
        <v>38.521690796221101</v>
      </c>
      <c r="I115">
        <v>58747</v>
      </c>
      <c r="J115">
        <v>77.7777777777777</v>
      </c>
      <c r="K115">
        <v>8</v>
      </c>
      <c r="L115" t="b">
        <v>1</v>
      </c>
      <c r="M115" s="2" t="s">
        <v>100</v>
      </c>
      <c r="N115" s="2" t="s">
        <v>100</v>
      </c>
      <c r="O115" t="b">
        <v>1</v>
      </c>
      <c r="P115" s="2" t="s">
        <v>100</v>
      </c>
      <c r="Q115">
        <v>86.761782529177495</v>
      </c>
      <c r="R115" s="2" t="s">
        <v>100</v>
      </c>
      <c r="S115">
        <v>0</v>
      </c>
      <c r="T115">
        <v>0.9</v>
      </c>
      <c r="U115" s="2" t="s">
        <v>100</v>
      </c>
      <c r="V115" t="b">
        <v>0</v>
      </c>
      <c r="W115" t="b">
        <v>1</v>
      </c>
      <c r="X115">
        <v>0</v>
      </c>
    </row>
    <row r="116" spans="3:24" x14ac:dyDescent="0.35">
      <c r="C116" s="2" t="s">
        <v>10</v>
      </c>
      <c r="D116" s="3">
        <v>43830</v>
      </c>
      <c r="E116" s="2" t="s">
        <v>100</v>
      </c>
      <c r="F116" s="2" t="s">
        <v>100</v>
      </c>
      <c r="G116" s="2" t="s">
        <v>100</v>
      </c>
      <c r="H116" s="2" t="s">
        <v>100</v>
      </c>
      <c r="I116" s="2" t="s">
        <v>100</v>
      </c>
      <c r="J116" s="2" t="s">
        <v>100</v>
      </c>
      <c r="K116" s="2" t="s">
        <v>100</v>
      </c>
      <c r="L116" s="2" t="s">
        <v>100</v>
      </c>
      <c r="M116" s="2" t="s">
        <v>100</v>
      </c>
      <c r="N116" s="2" t="s">
        <v>100</v>
      </c>
      <c r="O116" s="2" t="s">
        <v>100</v>
      </c>
      <c r="P116" s="2" t="s">
        <v>100</v>
      </c>
      <c r="Q116" s="2" t="s">
        <v>100</v>
      </c>
      <c r="R116" s="2" t="s">
        <v>100</v>
      </c>
      <c r="S116" s="2" t="s">
        <v>100</v>
      </c>
      <c r="T116" s="2" t="s">
        <v>100</v>
      </c>
      <c r="U116" s="2" t="s">
        <v>100</v>
      </c>
      <c r="V116" s="2" t="s">
        <v>100</v>
      </c>
      <c r="W116" s="2" t="s">
        <v>100</v>
      </c>
      <c r="X116" s="2" t="s">
        <v>100</v>
      </c>
    </row>
    <row r="117" spans="3:24" x14ac:dyDescent="0.35">
      <c r="C117" s="2" t="s">
        <v>10</v>
      </c>
      <c r="D117" s="3">
        <v>43465</v>
      </c>
      <c r="E117" s="2" t="s">
        <v>100</v>
      </c>
      <c r="F117" s="2" t="s">
        <v>100</v>
      </c>
      <c r="G117" s="2" t="s">
        <v>100</v>
      </c>
      <c r="H117" s="2" t="s">
        <v>100</v>
      </c>
      <c r="I117" s="2" t="s">
        <v>100</v>
      </c>
      <c r="J117" s="2" t="s">
        <v>100</v>
      </c>
      <c r="K117" s="2" t="s">
        <v>100</v>
      </c>
      <c r="L117" s="2" t="s">
        <v>100</v>
      </c>
      <c r="M117" s="2" t="s">
        <v>100</v>
      </c>
      <c r="N117" s="2" t="s">
        <v>100</v>
      </c>
      <c r="O117" s="2" t="s">
        <v>100</v>
      </c>
      <c r="P117" s="2" t="s">
        <v>100</v>
      </c>
      <c r="Q117" s="2" t="s">
        <v>100</v>
      </c>
      <c r="R117" s="2" t="s">
        <v>100</v>
      </c>
      <c r="S117" s="2" t="s">
        <v>100</v>
      </c>
      <c r="T117" s="2" t="s">
        <v>100</v>
      </c>
      <c r="U117" s="2" t="s">
        <v>100</v>
      </c>
      <c r="V117" s="2" t="s">
        <v>100</v>
      </c>
      <c r="W117" s="2" t="s">
        <v>100</v>
      </c>
      <c r="X117" s="2" t="s">
        <v>100</v>
      </c>
    </row>
    <row r="118" spans="3:24" x14ac:dyDescent="0.35">
      <c r="C118" s="2" t="s">
        <v>10</v>
      </c>
      <c r="D118" s="3">
        <v>43100</v>
      </c>
      <c r="E118" s="2" t="s">
        <v>100</v>
      </c>
      <c r="F118" s="2" t="s">
        <v>100</v>
      </c>
      <c r="G118" s="2" t="s">
        <v>100</v>
      </c>
      <c r="H118" s="2" t="s">
        <v>100</v>
      </c>
      <c r="I118" s="2" t="s">
        <v>100</v>
      </c>
      <c r="J118" s="2" t="s">
        <v>100</v>
      </c>
      <c r="K118" s="2" t="s">
        <v>100</v>
      </c>
      <c r="L118" s="2" t="s">
        <v>100</v>
      </c>
      <c r="M118" s="2" t="s">
        <v>100</v>
      </c>
      <c r="N118" s="2" t="s">
        <v>100</v>
      </c>
      <c r="O118" s="2" t="s">
        <v>100</v>
      </c>
      <c r="P118" s="2" t="s">
        <v>100</v>
      </c>
      <c r="Q118" s="2" t="s">
        <v>100</v>
      </c>
      <c r="R118" s="2" t="s">
        <v>100</v>
      </c>
      <c r="S118" s="2" t="s">
        <v>100</v>
      </c>
      <c r="T118" s="2" t="s">
        <v>100</v>
      </c>
      <c r="U118" s="2" t="s">
        <v>100</v>
      </c>
      <c r="V118" s="2" t="s">
        <v>100</v>
      </c>
      <c r="W118" s="2" t="s">
        <v>100</v>
      </c>
      <c r="X118" s="2" t="s">
        <v>100</v>
      </c>
    </row>
    <row r="119" spans="3:24" x14ac:dyDescent="0.35">
      <c r="C119" s="2" t="s">
        <v>10</v>
      </c>
      <c r="D119" s="3">
        <v>42735</v>
      </c>
      <c r="E119" s="2" t="s">
        <v>100</v>
      </c>
      <c r="F119" s="2" t="s">
        <v>100</v>
      </c>
      <c r="G119" s="2" t="s">
        <v>100</v>
      </c>
      <c r="H119" s="2" t="s">
        <v>100</v>
      </c>
      <c r="I119" s="2" t="s">
        <v>100</v>
      </c>
      <c r="J119" s="2" t="s">
        <v>100</v>
      </c>
      <c r="K119" s="2" t="s">
        <v>100</v>
      </c>
      <c r="L119" s="2" t="s">
        <v>100</v>
      </c>
      <c r="M119" s="2" t="s">
        <v>100</v>
      </c>
      <c r="N119" s="2" t="s">
        <v>100</v>
      </c>
      <c r="O119" s="2" t="s">
        <v>100</v>
      </c>
      <c r="P119" s="2" t="s">
        <v>100</v>
      </c>
      <c r="Q119" s="2" t="s">
        <v>100</v>
      </c>
      <c r="R119" s="2" t="s">
        <v>100</v>
      </c>
      <c r="S119" s="2" t="s">
        <v>100</v>
      </c>
      <c r="T119" s="2" t="s">
        <v>100</v>
      </c>
      <c r="U119" s="2" t="s">
        <v>100</v>
      </c>
      <c r="V119" s="2" t="s">
        <v>100</v>
      </c>
      <c r="W119" s="2" t="s">
        <v>100</v>
      </c>
      <c r="X119" s="2" t="s">
        <v>100</v>
      </c>
    </row>
    <row r="120" spans="3:24" x14ac:dyDescent="0.35">
      <c r="C120" s="2" t="s">
        <v>11</v>
      </c>
      <c r="D120" s="3">
        <v>46022</v>
      </c>
      <c r="E120">
        <v>82.309496536300699</v>
      </c>
      <c r="F120">
        <v>84.386009330475204</v>
      </c>
      <c r="G120">
        <v>74.726867080896596</v>
      </c>
      <c r="H120">
        <v>81.410772840509594</v>
      </c>
      <c r="I120">
        <v>1250000</v>
      </c>
      <c r="J120">
        <v>75</v>
      </c>
      <c r="K120">
        <v>10</v>
      </c>
      <c r="L120" t="b">
        <v>1</v>
      </c>
      <c r="M120">
        <v>698000</v>
      </c>
      <c r="N120" s="2" t="s">
        <v>100</v>
      </c>
      <c r="O120" t="b">
        <v>1</v>
      </c>
      <c r="P120" s="2" t="s">
        <v>100</v>
      </c>
      <c r="Q120">
        <v>69.909916611739803</v>
      </c>
      <c r="R120" t="b">
        <v>1</v>
      </c>
      <c r="S120">
        <v>99</v>
      </c>
      <c r="T120" s="2" t="s">
        <v>100</v>
      </c>
      <c r="U120">
        <v>84</v>
      </c>
      <c r="V120" t="b">
        <v>1</v>
      </c>
      <c r="W120" t="b">
        <v>1</v>
      </c>
      <c r="X120">
        <v>52.912621359223301</v>
      </c>
    </row>
    <row r="121" spans="3:24" x14ac:dyDescent="0.35">
      <c r="C121" s="2" t="s">
        <v>11</v>
      </c>
      <c r="D121" s="3">
        <v>45657</v>
      </c>
      <c r="E121">
        <v>84.311274962968696</v>
      </c>
      <c r="F121">
        <v>83.421528611444501</v>
      </c>
      <c r="G121">
        <v>78.189668426596498</v>
      </c>
      <c r="H121">
        <v>82.320711019897601</v>
      </c>
      <c r="I121">
        <v>1745394</v>
      </c>
      <c r="J121">
        <v>84.615384615384599</v>
      </c>
      <c r="K121">
        <v>9</v>
      </c>
      <c r="L121" t="b">
        <v>1</v>
      </c>
      <c r="M121">
        <v>731000</v>
      </c>
      <c r="N121" s="2" t="s">
        <v>100</v>
      </c>
      <c r="O121" t="b">
        <v>1</v>
      </c>
      <c r="P121" s="2" t="s">
        <v>100</v>
      </c>
      <c r="Q121">
        <v>70.2374273937494</v>
      </c>
      <c r="R121" t="b">
        <v>0</v>
      </c>
      <c r="S121">
        <v>92.647058823529406</v>
      </c>
      <c r="T121" s="2" t="s">
        <v>100</v>
      </c>
      <c r="U121">
        <v>79</v>
      </c>
      <c r="V121" t="b">
        <v>1</v>
      </c>
      <c r="W121" t="b">
        <v>1</v>
      </c>
      <c r="X121">
        <v>52.857142857142797</v>
      </c>
    </row>
    <row r="122" spans="3:24" x14ac:dyDescent="0.35">
      <c r="C122" s="2" t="s">
        <v>11</v>
      </c>
      <c r="D122" s="3">
        <v>45291</v>
      </c>
      <c r="E122">
        <v>82.276935289075894</v>
      </c>
      <c r="F122">
        <v>88.976275582463998</v>
      </c>
      <c r="G122">
        <v>89.681381162201802</v>
      </c>
      <c r="H122">
        <v>87.456610443792101</v>
      </c>
      <c r="I122">
        <v>1721469</v>
      </c>
      <c r="J122">
        <v>78.571428571428498</v>
      </c>
      <c r="K122">
        <v>12</v>
      </c>
      <c r="L122" t="b">
        <v>1</v>
      </c>
      <c r="M122" s="2" t="s">
        <v>100</v>
      </c>
      <c r="N122" s="2" t="s">
        <v>100</v>
      </c>
      <c r="O122" t="b">
        <v>1</v>
      </c>
      <c r="P122" s="2" t="s">
        <v>100</v>
      </c>
      <c r="Q122">
        <v>71.154811864450707</v>
      </c>
      <c r="R122" t="b">
        <v>0</v>
      </c>
      <c r="S122">
        <v>91.326530612244795</v>
      </c>
      <c r="T122" s="2" t="s">
        <v>100</v>
      </c>
      <c r="U122">
        <v>84</v>
      </c>
      <c r="V122" t="b">
        <v>1</v>
      </c>
      <c r="W122" t="b">
        <v>1</v>
      </c>
      <c r="X122">
        <v>52.941176470588204</v>
      </c>
    </row>
    <row r="123" spans="3:24" x14ac:dyDescent="0.35">
      <c r="C123" s="2" t="s">
        <v>11</v>
      </c>
      <c r="D123" s="3">
        <v>44926</v>
      </c>
      <c r="E123">
        <v>88.217453447943498</v>
      </c>
      <c r="F123">
        <v>89.695293110738305</v>
      </c>
      <c r="G123">
        <v>95.771928178178101</v>
      </c>
      <c r="H123">
        <v>90.861184903465201</v>
      </c>
      <c r="I123">
        <v>1926186</v>
      </c>
      <c r="J123">
        <v>80</v>
      </c>
      <c r="K123">
        <v>13</v>
      </c>
      <c r="L123" t="b">
        <v>1</v>
      </c>
      <c r="M123">
        <v>571284</v>
      </c>
      <c r="N123" s="2" t="s">
        <v>100</v>
      </c>
      <c r="O123" t="b">
        <v>1</v>
      </c>
      <c r="P123" s="2" t="s">
        <v>100</v>
      </c>
      <c r="Q123">
        <v>73.521960578472303</v>
      </c>
      <c r="R123" t="b">
        <v>0</v>
      </c>
      <c r="S123">
        <v>91.237113402061794</v>
      </c>
      <c r="T123" s="2" t="s">
        <v>100</v>
      </c>
      <c r="U123">
        <v>81</v>
      </c>
      <c r="V123" t="b">
        <v>1</v>
      </c>
      <c r="W123" t="b">
        <v>1</v>
      </c>
      <c r="X123">
        <v>54.368932038834899</v>
      </c>
    </row>
    <row r="124" spans="3:24" x14ac:dyDescent="0.35">
      <c r="C124" s="2" t="s">
        <v>11</v>
      </c>
      <c r="D124" s="3">
        <v>44561</v>
      </c>
      <c r="E124">
        <v>86.446180166728894</v>
      </c>
      <c r="F124">
        <v>93.002916222668702</v>
      </c>
      <c r="G124">
        <v>88.324567201541299</v>
      </c>
      <c r="H124">
        <v>90.154584794679806</v>
      </c>
      <c r="I124">
        <v>910000</v>
      </c>
      <c r="J124">
        <v>85.714285714285694</v>
      </c>
      <c r="K124">
        <v>13</v>
      </c>
      <c r="L124" t="b">
        <v>1</v>
      </c>
      <c r="M124">
        <v>652296</v>
      </c>
      <c r="N124" s="2" t="s">
        <v>100</v>
      </c>
      <c r="O124" t="b">
        <v>1</v>
      </c>
      <c r="P124" s="2" t="s">
        <v>100</v>
      </c>
      <c r="Q124">
        <v>75.621147307915805</v>
      </c>
      <c r="R124" t="b">
        <v>0</v>
      </c>
      <c r="S124">
        <v>95.882352941176407</v>
      </c>
      <c r="T124" s="2" t="s">
        <v>100</v>
      </c>
      <c r="U124">
        <v>82</v>
      </c>
      <c r="V124" t="b">
        <v>1</v>
      </c>
      <c r="W124" t="b">
        <v>1</v>
      </c>
      <c r="X124">
        <v>53.370786516853897</v>
      </c>
    </row>
    <row r="125" spans="3:24" x14ac:dyDescent="0.35">
      <c r="C125" s="2" t="s">
        <v>11</v>
      </c>
      <c r="D125" s="3">
        <v>44196</v>
      </c>
      <c r="E125">
        <v>81.933646680216796</v>
      </c>
      <c r="F125">
        <v>94.001008571632795</v>
      </c>
      <c r="G125">
        <v>89.424908424908395</v>
      </c>
      <c r="H125">
        <v>89.781539322526797</v>
      </c>
      <c r="I125">
        <v>823511</v>
      </c>
      <c r="J125">
        <v>84.615384615384599</v>
      </c>
      <c r="K125">
        <v>12</v>
      </c>
      <c r="L125" t="b">
        <v>1</v>
      </c>
      <c r="M125">
        <v>584038</v>
      </c>
      <c r="N125">
        <v>16695</v>
      </c>
      <c r="O125" t="b">
        <v>1</v>
      </c>
      <c r="P125">
        <v>3427000</v>
      </c>
      <c r="Q125">
        <v>78.200069035947806</v>
      </c>
      <c r="R125" t="b">
        <v>0</v>
      </c>
      <c r="S125">
        <v>95.3333333333333</v>
      </c>
      <c r="T125" s="2" t="s">
        <v>100</v>
      </c>
      <c r="U125">
        <v>83</v>
      </c>
      <c r="V125" t="b">
        <v>1</v>
      </c>
      <c r="W125" t="b">
        <v>1</v>
      </c>
      <c r="X125">
        <v>54.430379746835399</v>
      </c>
    </row>
    <row r="126" spans="3:24" x14ac:dyDescent="0.35">
      <c r="C126" s="2" t="s">
        <v>11</v>
      </c>
      <c r="D126" s="3">
        <v>43830</v>
      </c>
      <c r="E126">
        <v>85.677062508329996</v>
      </c>
      <c r="F126">
        <v>93.729944229944195</v>
      </c>
      <c r="G126">
        <v>90.654714475431604</v>
      </c>
      <c r="H126">
        <v>90.908732869799294</v>
      </c>
      <c r="I126">
        <v>1128091</v>
      </c>
      <c r="J126">
        <v>85.714285714285694</v>
      </c>
      <c r="K126">
        <v>13</v>
      </c>
      <c r="L126" t="b">
        <v>1</v>
      </c>
      <c r="M126">
        <v>575480</v>
      </c>
      <c r="N126">
        <v>17295</v>
      </c>
      <c r="O126" t="b">
        <v>1</v>
      </c>
      <c r="P126">
        <v>2997340</v>
      </c>
      <c r="Q126">
        <v>80.269779293880703</v>
      </c>
      <c r="R126" t="b">
        <v>0</v>
      </c>
      <c r="S126">
        <v>96.5277777777777</v>
      </c>
      <c r="T126" s="2" t="s">
        <v>100</v>
      </c>
      <c r="U126">
        <v>77</v>
      </c>
      <c r="V126" t="b">
        <v>1</v>
      </c>
      <c r="W126" t="b">
        <v>1</v>
      </c>
      <c r="X126">
        <v>54.054054054053999</v>
      </c>
    </row>
    <row r="127" spans="3:24" x14ac:dyDescent="0.35">
      <c r="C127" s="2" t="s">
        <v>11</v>
      </c>
      <c r="D127" s="3">
        <v>43465</v>
      </c>
      <c r="E127">
        <v>84.904584924531704</v>
      </c>
      <c r="F127">
        <v>94.217767739506797</v>
      </c>
      <c r="G127">
        <v>98.141747403334193</v>
      </c>
      <c r="H127">
        <v>92.851490884286207</v>
      </c>
      <c r="I127">
        <v>1652057</v>
      </c>
      <c r="J127">
        <v>85.714285714285694</v>
      </c>
      <c r="K127">
        <v>13</v>
      </c>
      <c r="L127" t="b">
        <v>1</v>
      </c>
      <c r="M127">
        <v>617855</v>
      </c>
      <c r="N127">
        <v>19620</v>
      </c>
      <c r="O127" t="b">
        <v>1</v>
      </c>
      <c r="P127">
        <v>2477568</v>
      </c>
      <c r="Q127">
        <v>82.220517481419506</v>
      </c>
      <c r="R127" t="b">
        <v>0</v>
      </c>
      <c r="S127">
        <v>96.212121212121204</v>
      </c>
      <c r="T127" s="2" t="s">
        <v>100</v>
      </c>
      <c r="U127">
        <v>74</v>
      </c>
      <c r="V127" t="b">
        <v>1</v>
      </c>
      <c r="W127" t="b">
        <v>1</v>
      </c>
      <c r="X127">
        <v>52.272727272727202</v>
      </c>
    </row>
    <row r="128" spans="3:24" x14ac:dyDescent="0.35">
      <c r="C128" s="2" t="s">
        <v>11</v>
      </c>
      <c r="D128" s="3">
        <v>43100</v>
      </c>
      <c r="E128">
        <v>86.326234872746497</v>
      </c>
      <c r="F128">
        <v>95.143515470704401</v>
      </c>
      <c r="G128">
        <v>91.2576130054575</v>
      </c>
      <c r="H128">
        <v>91.922990187074902</v>
      </c>
      <c r="I128">
        <v>1689659</v>
      </c>
      <c r="J128">
        <v>85.714285714285694</v>
      </c>
      <c r="K128">
        <v>13</v>
      </c>
      <c r="L128" t="b">
        <v>1</v>
      </c>
      <c r="M128">
        <v>651036</v>
      </c>
      <c r="N128">
        <v>22990</v>
      </c>
      <c r="O128" t="b">
        <v>1</v>
      </c>
      <c r="P128">
        <v>2247924</v>
      </c>
      <c r="Q128">
        <v>85.960763534790999</v>
      </c>
      <c r="R128" s="2" t="s">
        <v>100</v>
      </c>
      <c r="S128">
        <v>96.774193548387103</v>
      </c>
      <c r="T128" s="2" t="s">
        <v>100</v>
      </c>
      <c r="U128">
        <v>74</v>
      </c>
      <c r="V128" t="b">
        <v>1</v>
      </c>
      <c r="W128" t="b">
        <v>1</v>
      </c>
      <c r="X128">
        <v>53.225806451612897</v>
      </c>
    </row>
    <row r="129" spans="3:24" x14ac:dyDescent="0.35">
      <c r="C129" s="2" t="s">
        <v>11</v>
      </c>
      <c r="D129" s="3">
        <v>42735</v>
      </c>
      <c r="E129">
        <v>83.541741865621603</v>
      </c>
      <c r="F129">
        <v>83.671428571428507</v>
      </c>
      <c r="G129">
        <v>93.142490478555999</v>
      </c>
      <c r="H129">
        <v>86.039664537960505</v>
      </c>
      <c r="I129">
        <v>1705569</v>
      </c>
      <c r="J129">
        <v>87.5</v>
      </c>
      <c r="K129">
        <v>14</v>
      </c>
      <c r="L129" t="b">
        <v>1</v>
      </c>
      <c r="M129">
        <v>770537</v>
      </c>
      <c r="N129">
        <v>23810</v>
      </c>
      <c r="O129" t="b">
        <v>1</v>
      </c>
      <c r="P129">
        <v>1350656</v>
      </c>
      <c r="Q129">
        <v>86.761782529177495</v>
      </c>
      <c r="R129" s="2" t="s">
        <v>100</v>
      </c>
      <c r="S129">
        <v>62.931034482758598</v>
      </c>
      <c r="T129" s="2" t="s">
        <v>100</v>
      </c>
      <c r="U129">
        <v>76</v>
      </c>
      <c r="V129" t="b">
        <v>1</v>
      </c>
      <c r="W129" t="b">
        <v>1</v>
      </c>
      <c r="X129">
        <v>55.737704918032698</v>
      </c>
    </row>
    <row r="130" spans="3:24" x14ac:dyDescent="0.35">
      <c r="C130" s="2" t="s">
        <v>12</v>
      </c>
      <c r="D130" s="3">
        <v>46022</v>
      </c>
      <c r="E130">
        <v>83.818309247413694</v>
      </c>
      <c r="F130">
        <v>72.012488762667502</v>
      </c>
      <c r="G130">
        <v>61.106161671539901</v>
      </c>
      <c r="H130">
        <v>71.125165077359696</v>
      </c>
      <c r="I130">
        <v>175188</v>
      </c>
      <c r="J130">
        <v>85.714285714285694</v>
      </c>
      <c r="K130">
        <v>13</v>
      </c>
      <c r="L130" t="b">
        <v>1</v>
      </c>
      <c r="M130">
        <v>5083</v>
      </c>
      <c r="N130" s="2" t="s">
        <v>100</v>
      </c>
      <c r="O130" t="b">
        <v>1</v>
      </c>
      <c r="P130" s="2" t="s">
        <v>100</v>
      </c>
      <c r="Q130">
        <v>69.909916611739803</v>
      </c>
      <c r="R130" t="b">
        <v>0</v>
      </c>
      <c r="S130">
        <v>23.815789473684202</v>
      </c>
      <c r="T130">
        <v>1.1887700000000001</v>
      </c>
      <c r="U130">
        <v>93</v>
      </c>
      <c r="V130" t="b">
        <v>1</v>
      </c>
      <c r="W130" t="b">
        <v>1</v>
      </c>
      <c r="X130">
        <v>51.6927083333333</v>
      </c>
    </row>
    <row r="131" spans="3:24" x14ac:dyDescent="0.35">
      <c r="C131" s="2" t="s">
        <v>12</v>
      </c>
      <c r="D131" s="3">
        <v>45657</v>
      </c>
      <c r="E131">
        <v>83.573990571838394</v>
      </c>
      <c r="F131">
        <v>72.611085782564302</v>
      </c>
      <c r="G131">
        <v>70.590582412477801</v>
      </c>
      <c r="H131">
        <v>74.5096592841183</v>
      </c>
      <c r="I131">
        <v>173557</v>
      </c>
      <c r="J131">
        <v>83.3333333333333</v>
      </c>
      <c r="K131">
        <v>11</v>
      </c>
      <c r="L131" t="b">
        <v>1</v>
      </c>
      <c r="M131">
        <v>5442</v>
      </c>
      <c r="N131" s="2" t="s">
        <v>100</v>
      </c>
      <c r="O131" t="b">
        <v>1</v>
      </c>
      <c r="P131">
        <v>103303</v>
      </c>
      <c r="Q131">
        <v>70.2374273937494</v>
      </c>
      <c r="R131" t="b">
        <v>0</v>
      </c>
      <c r="S131">
        <v>25.5263157894736</v>
      </c>
      <c r="T131">
        <v>1.23333</v>
      </c>
      <c r="U131">
        <v>91</v>
      </c>
      <c r="V131" t="b">
        <v>1</v>
      </c>
      <c r="W131" t="b">
        <v>1</v>
      </c>
      <c r="X131">
        <v>51.813471502590602</v>
      </c>
    </row>
    <row r="132" spans="3:24" x14ac:dyDescent="0.35">
      <c r="C132" s="2" t="s">
        <v>12</v>
      </c>
      <c r="D132" s="3">
        <v>45291</v>
      </c>
      <c r="E132">
        <v>66.097399186849103</v>
      </c>
      <c r="F132">
        <v>77.304324706273107</v>
      </c>
      <c r="G132">
        <v>68.465475450310393</v>
      </c>
      <c r="H132">
        <v>71.701590598958205</v>
      </c>
      <c r="I132">
        <v>174438</v>
      </c>
      <c r="J132">
        <v>76.923076923076906</v>
      </c>
      <c r="K132">
        <v>12</v>
      </c>
      <c r="L132" t="b">
        <v>1</v>
      </c>
      <c r="M132">
        <v>3453</v>
      </c>
      <c r="N132" s="2" t="s">
        <v>100</v>
      </c>
      <c r="O132" t="b">
        <v>1</v>
      </c>
      <c r="P132">
        <v>720000</v>
      </c>
      <c r="Q132">
        <v>71.154811864450707</v>
      </c>
      <c r="R132" t="b">
        <v>0</v>
      </c>
      <c r="S132">
        <v>65.068493150684901</v>
      </c>
      <c r="T132">
        <v>1.38927</v>
      </c>
      <c r="U132">
        <v>87</v>
      </c>
      <c r="V132" t="b">
        <v>1</v>
      </c>
      <c r="W132" t="b">
        <v>1</v>
      </c>
      <c r="X132">
        <v>52.910052910052897</v>
      </c>
    </row>
    <row r="133" spans="3:24" x14ac:dyDescent="0.35">
      <c r="C133" s="2" t="s">
        <v>12</v>
      </c>
      <c r="D133" s="3">
        <v>44926</v>
      </c>
      <c r="E133">
        <v>65.499708535688598</v>
      </c>
      <c r="F133">
        <v>78.787473066294396</v>
      </c>
      <c r="G133">
        <v>72.770020020019999</v>
      </c>
      <c r="H133">
        <v>73.643070306619506</v>
      </c>
      <c r="I133">
        <v>172644</v>
      </c>
      <c r="J133">
        <v>80</v>
      </c>
      <c r="K133">
        <v>10</v>
      </c>
      <c r="L133" t="b">
        <v>1</v>
      </c>
      <c r="M133">
        <v>4962</v>
      </c>
      <c r="N133" s="2" t="s">
        <v>100</v>
      </c>
      <c r="O133" t="b">
        <v>1</v>
      </c>
      <c r="P133">
        <v>670000</v>
      </c>
      <c r="Q133">
        <v>73.521960578472303</v>
      </c>
      <c r="R133" t="b">
        <v>0</v>
      </c>
      <c r="S133">
        <v>66.120218579234901</v>
      </c>
      <c r="T133">
        <v>1.06897</v>
      </c>
      <c r="U133">
        <v>80</v>
      </c>
      <c r="V133" t="b">
        <v>1</v>
      </c>
      <c r="W133" t="b">
        <v>1</v>
      </c>
      <c r="X133">
        <v>54.285714285714199</v>
      </c>
    </row>
    <row r="134" spans="3:24" x14ac:dyDescent="0.35">
      <c r="C134" s="2" t="s">
        <v>12</v>
      </c>
      <c r="D134" s="3">
        <v>44561</v>
      </c>
      <c r="E134">
        <v>65.922816940142795</v>
      </c>
      <c r="F134">
        <v>80.128863169953107</v>
      </c>
      <c r="G134">
        <v>70.373013752357494</v>
      </c>
      <c r="H134">
        <v>73.513164065245306</v>
      </c>
      <c r="I134">
        <v>181988</v>
      </c>
      <c r="J134">
        <v>75</v>
      </c>
      <c r="K134">
        <v>9</v>
      </c>
      <c r="L134" t="b">
        <v>1</v>
      </c>
      <c r="M134" s="2" t="s">
        <v>100</v>
      </c>
      <c r="N134" s="2" t="s">
        <v>100</v>
      </c>
      <c r="O134" t="b">
        <v>1</v>
      </c>
      <c r="P134">
        <v>282600</v>
      </c>
      <c r="Q134">
        <v>75.621147307915805</v>
      </c>
      <c r="R134" s="2" t="s">
        <v>100</v>
      </c>
      <c r="S134">
        <v>64.864864864864799</v>
      </c>
      <c r="T134">
        <v>1.3616900000000001</v>
      </c>
      <c r="U134">
        <v>79.900000000000006</v>
      </c>
      <c r="V134" t="b">
        <v>1</v>
      </c>
      <c r="W134" t="b">
        <v>1</v>
      </c>
      <c r="X134">
        <v>55.182072829131599</v>
      </c>
    </row>
    <row r="135" spans="3:24" x14ac:dyDescent="0.35">
      <c r="C135" s="2" t="s">
        <v>12</v>
      </c>
      <c r="D135" s="3">
        <v>44196</v>
      </c>
      <c r="E135">
        <v>69.873292192608901</v>
      </c>
      <c r="F135">
        <v>87.240609938785695</v>
      </c>
      <c r="G135">
        <v>72.211233211233207</v>
      </c>
      <c r="H135">
        <v>78.110815448155506</v>
      </c>
      <c r="I135">
        <v>184192</v>
      </c>
      <c r="J135">
        <v>72.727272727272705</v>
      </c>
      <c r="K135">
        <v>11</v>
      </c>
      <c r="L135" t="b">
        <v>1</v>
      </c>
      <c r="M135" s="2" t="s">
        <v>100</v>
      </c>
      <c r="N135" s="2" t="s">
        <v>100</v>
      </c>
      <c r="O135" t="b">
        <v>1</v>
      </c>
      <c r="P135">
        <v>216000</v>
      </c>
      <c r="Q135">
        <v>78.200069035947806</v>
      </c>
      <c r="R135" s="2" t="s">
        <v>100</v>
      </c>
      <c r="S135">
        <v>68.813559322033896</v>
      </c>
      <c r="T135">
        <v>0.74299999999999999</v>
      </c>
      <c r="U135">
        <v>89</v>
      </c>
      <c r="V135" t="b">
        <v>1</v>
      </c>
      <c r="W135" t="b">
        <v>1</v>
      </c>
      <c r="X135">
        <v>56.9444444444444</v>
      </c>
    </row>
    <row r="136" spans="3:24" x14ac:dyDescent="0.35">
      <c r="C136" s="2" t="s">
        <v>12</v>
      </c>
      <c r="D136" s="3">
        <v>43830</v>
      </c>
      <c r="E136">
        <v>68.778353732797399</v>
      </c>
      <c r="F136">
        <v>85.311800238420204</v>
      </c>
      <c r="G136">
        <v>76.9490732721288</v>
      </c>
      <c r="H136">
        <v>78.577688046965093</v>
      </c>
      <c r="I136">
        <v>193644</v>
      </c>
      <c r="J136">
        <v>70</v>
      </c>
      <c r="K136">
        <v>10</v>
      </c>
      <c r="L136" t="b">
        <v>1</v>
      </c>
      <c r="M136" s="2" t="s">
        <v>100</v>
      </c>
      <c r="N136" s="2" t="s">
        <v>100</v>
      </c>
      <c r="O136" t="b">
        <v>1</v>
      </c>
      <c r="P136" s="2" t="s">
        <v>100</v>
      </c>
      <c r="Q136">
        <v>80.269779293880703</v>
      </c>
      <c r="R136" s="2" t="s">
        <v>100</v>
      </c>
      <c r="S136">
        <v>69.360902255639104</v>
      </c>
      <c r="T136">
        <v>1.698</v>
      </c>
      <c r="U136" s="2" t="s">
        <v>100</v>
      </c>
      <c r="V136" t="b">
        <v>1</v>
      </c>
      <c r="W136" t="b">
        <v>1</v>
      </c>
      <c r="X136">
        <v>56.818181818181799</v>
      </c>
    </row>
    <row r="137" spans="3:24" x14ac:dyDescent="0.35">
      <c r="C137" s="2" t="s">
        <v>12</v>
      </c>
      <c r="D137" s="3">
        <v>43465</v>
      </c>
      <c r="E137">
        <v>63.174625171576302</v>
      </c>
      <c r="F137">
        <v>75.777953598843894</v>
      </c>
      <c r="G137">
        <v>68.344850879090401</v>
      </c>
      <c r="H137">
        <v>70.274441931191902</v>
      </c>
      <c r="I137">
        <v>185791</v>
      </c>
      <c r="J137">
        <v>63.636363636363598</v>
      </c>
      <c r="K137">
        <v>10</v>
      </c>
      <c r="L137" t="b">
        <v>1</v>
      </c>
      <c r="M137" s="2" t="s">
        <v>100</v>
      </c>
      <c r="N137" s="2" t="s">
        <v>100</v>
      </c>
      <c r="O137" t="b">
        <v>1</v>
      </c>
      <c r="P137" s="2" t="s">
        <v>100</v>
      </c>
      <c r="Q137">
        <v>82.220517481419506</v>
      </c>
      <c r="R137" s="2" t="s">
        <v>100</v>
      </c>
      <c r="S137">
        <v>71.212121212121204</v>
      </c>
      <c r="T137">
        <v>1.532</v>
      </c>
      <c r="U137" s="2" t="s">
        <v>100</v>
      </c>
      <c r="V137" t="b">
        <v>1</v>
      </c>
      <c r="W137" t="b">
        <v>1</v>
      </c>
      <c r="X137">
        <v>57.968127490039798</v>
      </c>
    </row>
    <row r="138" spans="3:24" x14ac:dyDescent="0.35">
      <c r="C138" s="2" t="s">
        <v>12</v>
      </c>
      <c r="D138" s="3">
        <v>43100</v>
      </c>
      <c r="E138">
        <v>63.623167576889799</v>
      </c>
      <c r="F138">
        <v>76.658153273060094</v>
      </c>
      <c r="G138">
        <v>67.720502629571598</v>
      </c>
      <c r="H138">
        <v>70.482624228402202</v>
      </c>
      <c r="I138">
        <v>177176</v>
      </c>
      <c r="J138">
        <v>75</v>
      </c>
      <c r="K138">
        <v>10</v>
      </c>
      <c r="L138" t="b">
        <v>1</v>
      </c>
      <c r="M138" s="2" t="s">
        <v>100</v>
      </c>
      <c r="N138" s="2" t="s">
        <v>100</v>
      </c>
      <c r="O138" t="b">
        <v>1</v>
      </c>
      <c r="P138" s="2" t="s">
        <v>100</v>
      </c>
      <c r="Q138">
        <v>85.960763534790999</v>
      </c>
      <c r="R138" s="2" t="s">
        <v>100</v>
      </c>
      <c r="S138">
        <v>72.959183673469298</v>
      </c>
      <c r="T138">
        <v>1.1839999999999999</v>
      </c>
      <c r="U138" s="2" t="s">
        <v>100</v>
      </c>
      <c r="V138" t="b">
        <v>1</v>
      </c>
      <c r="W138" t="b">
        <v>1</v>
      </c>
      <c r="X138">
        <v>60.360360360360303</v>
      </c>
    </row>
    <row r="139" spans="3:24" x14ac:dyDescent="0.35">
      <c r="C139" s="2" t="s">
        <v>12</v>
      </c>
      <c r="D139" s="3">
        <v>42735</v>
      </c>
      <c r="E139">
        <v>65.350979477611901</v>
      </c>
      <c r="F139">
        <v>53.488087089010101</v>
      </c>
      <c r="G139">
        <v>61.232957995253102</v>
      </c>
      <c r="H139">
        <v>58.877641574248102</v>
      </c>
      <c r="I139">
        <v>198165</v>
      </c>
      <c r="J139">
        <v>63.636363636363598</v>
      </c>
      <c r="K139">
        <v>9</v>
      </c>
      <c r="L139" t="b">
        <v>1</v>
      </c>
      <c r="M139" s="2" t="s">
        <v>100</v>
      </c>
      <c r="N139" s="2" t="s">
        <v>100</v>
      </c>
      <c r="O139" t="b">
        <v>1</v>
      </c>
      <c r="P139" s="2" t="s">
        <v>100</v>
      </c>
      <c r="Q139">
        <v>18.497865737530599</v>
      </c>
      <c r="R139" s="2" t="s">
        <v>100</v>
      </c>
      <c r="S139">
        <v>71.229050279329599</v>
      </c>
      <c r="T139">
        <v>1.25</v>
      </c>
      <c r="U139" s="2" t="s">
        <v>100</v>
      </c>
      <c r="V139" t="b">
        <v>1</v>
      </c>
      <c r="W139" t="b">
        <v>1</v>
      </c>
      <c r="X139">
        <v>59.701492537313399</v>
      </c>
    </row>
    <row r="140" spans="3:24" x14ac:dyDescent="0.35">
      <c r="C140" s="2" t="s">
        <v>13</v>
      </c>
      <c r="D140" s="3">
        <v>45930</v>
      </c>
      <c r="E140">
        <v>86.680958416640095</v>
      </c>
      <c r="F140">
        <v>57.625289473411897</v>
      </c>
      <c r="G140">
        <v>90.420397782651094</v>
      </c>
      <c r="H140">
        <v>74.542766899278803</v>
      </c>
      <c r="I140">
        <v>175939</v>
      </c>
      <c r="J140">
        <v>81.818181818181799</v>
      </c>
      <c r="K140">
        <v>10</v>
      </c>
      <c r="L140" t="b">
        <v>1</v>
      </c>
      <c r="M140">
        <v>31599</v>
      </c>
      <c r="N140" s="2" t="s">
        <v>100</v>
      </c>
      <c r="O140" t="b">
        <v>1</v>
      </c>
      <c r="P140" s="2" t="s">
        <v>100</v>
      </c>
      <c r="Q140">
        <v>69.909916611739803</v>
      </c>
      <c r="R140" t="b">
        <v>0</v>
      </c>
      <c r="S140">
        <v>24.6527777777777</v>
      </c>
      <c r="T140">
        <v>1.45</v>
      </c>
      <c r="U140">
        <v>74</v>
      </c>
      <c r="V140" t="b">
        <v>1</v>
      </c>
      <c r="W140" t="b">
        <v>1</v>
      </c>
      <c r="X140">
        <v>55.393258426966298</v>
      </c>
    </row>
    <row r="141" spans="3:24" x14ac:dyDescent="0.35">
      <c r="C141" s="2" t="s">
        <v>13</v>
      </c>
      <c r="D141" s="3">
        <v>45565</v>
      </c>
      <c r="E141">
        <v>85.9191073902239</v>
      </c>
      <c r="F141">
        <v>59.501403672445903</v>
      </c>
      <c r="G141">
        <v>88.697578297251496</v>
      </c>
      <c r="H141">
        <v>74.7205862103052</v>
      </c>
      <c r="I141">
        <v>181907</v>
      </c>
      <c r="J141">
        <v>81.818181818181799</v>
      </c>
      <c r="K141">
        <v>11</v>
      </c>
      <c r="L141" t="b">
        <v>1</v>
      </c>
      <c r="M141">
        <v>33211</v>
      </c>
      <c r="N141" s="2" t="s">
        <v>100</v>
      </c>
      <c r="O141" t="b">
        <v>1</v>
      </c>
      <c r="P141" s="2" t="s">
        <v>100</v>
      </c>
      <c r="Q141">
        <v>70.2374273937494</v>
      </c>
      <c r="R141" t="b">
        <v>0</v>
      </c>
      <c r="S141">
        <v>25.963718820861601</v>
      </c>
      <c r="T141">
        <v>1.5</v>
      </c>
      <c r="U141">
        <v>74</v>
      </c>
      <c r="V141" t="b">
        <v>1</v>
      </c>
      <c r="W141" t="b">
        <v>1</v>
      </c>
      <c r="X141">
        <v>56.703296703296701</v>
      </c>
    </row>
    <row r="142" spans="3:24" x14ac:dyDescent="0.35">
      <c r="C142" s="2" t="s">
        <v>13</v>
      </c>
      <c r="D142" s="3">
        <v>45199</v>
      </c>
      <c r="E142">
        <v>89.323059461295301</v>
      </c>
      <c r="F142">
        <v>61.818051742243597</v>
      </c>
      <c r="G142">
        <v>89.8111354400382</v>
      </c>
      <c r="H142">
        <v>77.035390775589406</v>
      </c>
      <c r="I142">
        <v>195148</v>
      </c>
      <c r="J142">
        <v>81.818181818181799</v>
      </c>
      <c r="K142">
        <v>10</v>
      </c>
      <c r="L142" t="b">
        <v>1</v>
      </c>
      <c r="M142">
        <v>35744</v>
      </c>
      <c r="N142" s="2" t="s">
        <v>100</v>
      </c>
      <c r="O142" t="b">
        <v>1</v>
      </c>
      <c r="P142" s="2" t="s">
        <v>100</v>
      </c>
      <c r="Q142">
        <v>71.154811864450707</v>
      </c>
      <c r="R142" t="b">
        <v>0</v>
      </c>
      <c r="S142">
        <v>28.037383177570099</v>
      </c>
      <c r="T142">
        <v>1.5</v>
      </c>
      <c r="U142">
        <v>74</v>
      </c>
      <c r="V142" t="b">
        <v>1</v>
      </c>
      <c r="W142" t="b">
        <v>1</v>
      </c>
      <c r="X142">
        <v>58.3333333333333</v>
      </c>
    </row>
    <row r="143" spans="3:24" x14ac:dyDescent="0.35">
      <c r="C143" s="2" t="s">
        <v>13</v>
      </c>
      <c r="D143" s="3">
        <v>44834</v>
      </c>
      <c r="E143">
        <v>83.164010191935802</v>
      </c>
      <c r="F143">
        <v>59.959415693932698</v>
      </c>
      <c r="G143">
        <v>91.298548548548496</v>
      </c>
      <c r="H143">
        <v>74.815081331720094</v>
      </c>
      <c r="I143">
        <v>222243</v>
      </c>
      <c r="J143">
        <v>81.818181818181799</v>
      </c>
      <c r="K143">
        <v>10</v>
      </c>
      <c r="L143" t="b">
        <v>1</v>
      </c>
      <c r="M143">
        <v>41969</v>
      </c>
      <c r="N143" s="2" t="s">
        <v>100</v>
      </c>
      <c r="O143" t="b">
        <v>1</v>
      </c>
      <c r="P143" s="2" t="s">
        <v>100</v>
      </c>
      <c r="Q143">
        <v>73.521960578472303</v>
      </c>
      <c r="R143" t="b">
        <v>0</v>
      </c>
      <c r="S143">
        <v>29.779411764705799</v>
      </c>
      <c r="T143">
        <v>1.2</v>
      </c>
      <c r="U143">
        <v>74</v>
      </c>
      <c r="V143" t="b">
        <v>1</v>
      </c>
      <c r="W143" t="b">
        <v>1</v>
      </c>
      <c r="X143">
        <v>61.738148984198602</v>
      </c>
    </row>
    <row r="144" spans="3:24" x14ac:dyDescent="0.35">
      <c r="C144" s="2" t="s">
        <v>13</v>
      </c>
      <c r="D144" s="3">
        <v>44469</v>
      </c>
      <c r="E144">
        <v>74.245255595697898</v>
      </c>
      <c r="F144">
        <v>61.923581199435297</v>
      </c>
      <c r="G144">
        <v>75.644302873759798</v>
      </c>
      <c r="H144">
        <v>69.0490114343242</v>
      </c>
      <c r="I144">
        <v>226192</v>
      </c>
      <c r="J144">
        <v>72.727272727272705</v>
      </c>
      <c r="K144">
        <v>9</v>
      </c>
      <c r="L144" t="b">
        <v>1</v>
      </c>
      <c r="M144" s="2" t="s">
        <v>100</v>
      </c>
      <c r="N144" s="2" t="s">
        <v>100</v>
      </c>
      <c r="O144" t="b">
        <v>1</v>
      </c>
      <c r="P144" s="2" t="s">
        <v>100</v>
      </c>
      <c r="Q144">
        <v>75.621147307915805</v>
      </c>
      <c r="R144" s="2" t="s">
        <v>100</v>
      </c>
      <c r="S144">
        <v>47.262247838616702</v>
      </c>
      <c r="T144">
        <v>1.35</v>
      </c>
      <c r="U144">
        <v>66</v>
      </c>
      <c r="V144" t="b">
        <v>1</v>
      </c>
      <c r="W144" t="b">
        <v>1</v>
      </c>
      <c r="X144">
        <v>61.866666666666603</v>
      </c>
    </row>
    <row r="145" spans="3:24" x14ac:dyDescent="0.35">
      <c r="C145" s="2" t="s">
        <v>13</v>
      </c>
      <c r="D145" s="3">
        <v>44104</v>
      </c>
      <c r="E145">
        <v>79.813405706262898</v>
      </c>
      <c r="F145">
        <v>63.931915038074003</v>
      </c>
      <c r="G145">
        <v>71.363858363858299</v>
      </c>
      <c r="H145">
        <v>70.437408435668502</v>
      </c>
      <c r="I145">
        <v>236887</v>
      </c>
      <c r="J145">
        <v>58.3333333333333</v>
      </c>
      <c r="K145">
        <v>8</v>
      </c>
      <c r="L145" t="b">
        <v>1</v>
      </c>
      <c r="M145">
        <v>40253</v>
      </c>
      <c r="N145" s="2" t="s">
        <v>100</v>
      </c>
      <c r="O145" t="b">
        <v>1</v>
      </c>
      <c r="P145" s="2" t="s">
        <v>100</v>
      </c>
      <c r="Q145">
        <v>78.200069035947806</v>
      </c>
      <c r="R145" s="2" t="s">
        <v>100</v>
      </c>
      <c r="S145">
        <v>46.114864864864799</v>
      </c>
      <c r="T145">
        <v>1.6</v>
      </c>
      <c r="U145" s="2" t="s">
        <v>100</v>
      </c>
      <c r="V145" t="b">
        <v>1</v>
      </c>
      <c r="W145" t="b">
        <v>1</v>
      </c>
      <c r="X145">
        <v>62.839879154078503</v>
      </c>
    </row>
    <row r="146" spans="3:24" x14ac:dyDescent="0.35">
      <c r="C146" s="2" t="s">
        <v>13</v>
      </c>
      <c r="D146" s="3">
        <v>43738</v>
      </c>
      <c r="E146">
        <v>78.054163684084898</v>
      </c>
      <c r="F146">
        <v>71.272945683566903</v>
      </c>
      <c r="G146">
        <v>73.333102373116205</v>
      </c>
      <c r="H146">
        <v>73.759896871116197</v>
      </c>
      <c r="I146">
        <v>266349</v>
      </c>
      <c r="J146">
        <v>63.636363636363598</v>
      </c>
      <c r="K146">
        <v>10</v>
      </c>
      <c r="L146" t="b">
        <v>1</v>
      </c>
      <c r="M146">
        <v>41366</v>
      </c>
      <c r="N146" s="2" t="s">
        <v>100</v>
      </c>
      <c r="O146" t="b">
        <v>1</v>
      </c>
      <c r="P146">
        <v>60495</v>
      </c>
      <c r="Q146">
        <v>80.269779293880703</v>
      </c>
      <c r="R146" s="2" t="s">
        <v>100</v>
      </c>
      <c r="S146">
        <v>66.8539325842696</v>
      </c>
      <c r="T146">
        <v>2</v>
      </c>
      <c r="U146" s="2" t="s">
        <v>100</v>
      </c>
      <c r="V146" t="b">
        <v>1</v>
      </c>
      <c r="W146" t="b">
        <v>1</v>
      </c>
      <c r="X146">
        <v>60.975609756097498</v>
      </c>
    </row>
    <row r="147" spans="3:24" x14ac:dyDescent="0.35">
      <c r="C147" s="2" t="s">
        <v>13</v>
      </c>
      <c r="D147" s="3">
        <v>43373</v>
      </c>
      <c r="E147">
        <v>79.013541919831496</v>
      </c>
      <c r="F147">
        <v>71.958825787201903</v>
      </c>
      <c r="G147">
        <v>62.544447859861599</v>
      </c>
      <c r="H147">
        <v>71.526671603369493</v>
      </c>
      <c r="I147">
        <v>271916</v>
      </c>
      <c r="J147">
        <v>60</v>
      </c>
      <c r="K147">
        <v>9</v>
      </c>
      <c r="L147" t="b">
        <v>1</v>
      </c>
      <c r="M147">
        <v>43388</v>
      </c>
      <c r="N147" s="2" t="s">
        <v>100</v>
      </c>
      <c r="O147" t="b">
        <v>1</v>
      </c>
      <c r="P147">
        <v>39912</v>
      </c>
      <c r="Q147">
        <v>82.220517481419506</v>
      </c>
      <c r="R147" s="2" t="s">
        <v>100</v>
      </c>
      <c r="S147">
        <v>68.693693693693604</v>
      </c>
      <c r="T147">
        <v>2.2999999999999998</v>
      </c>
      <c r="U147" s="2" t="s">
        <v>100</v>
      </c>
      <c r="V147" t="b">
        <v>1</v>
      </c>
      <c r="W147" t="b">
        <v>1</v>
      </c>
      <c r="X147">
        <v>63.3333333333333</v>
      </c>
    </row>
    <row r="148" spans="3:24" x14ac:dyDescent="0.35">
      <c r="C148" s="2" t="s">
        <v>13</v>
      </c>
      <c r="D148" s="3">
        <v>43008</v>
      </c>
      <c r="E148">
        <v>82.810896972451104</v>
      </c>
      <c r="F148">
        <v>76.436808592662302</v>
      </c>
      <c r="G148">
        <v>57.320812463248501</v>
      </c>
      <c r="H148">
        <v>73.274530212261396</v>
      </c>
      <c r="I148">
        <v>279573</v>
      </c>
      <c r="J148">
        <v>63.636363636363598</v>
      </c>
      <c r="K148">
        <v>10</v>
      </c>
      <c r="L148" t="b">
        <v>1</v>
      </c>
      <c r="M148">
        <v>52787</v>
      </c>
      <c r="N148" s="2" t="s">
        <v>100</v>
      </c>
      <c r="O148" t="b">
        <v>1</v>
      </c>
      <c r="P148">
        <v>77079.960000000006</v>
      </c>
      <c r="Q148">
        <v>85.960763534790999</v>
      </c>
      <c r="R148" s="2" t="s">
        <v>100</v>
      </c>
      <c r="S148">
        <v>71.693121693121697</v>
      </c>
      <c r="T148">
        <v>1.8</v>
      </c>
      <c r="U148" s="2" t="s">
        <v>100</v>
      </c>
      <c r="V148" t="b">
        <v>1</v>
      </c>
      <c r="W148" t="b">
        <v>1</v>
      </c>
      <c r="X148">
        <v>67.317073170731703</v>
      </c>
    </row>
    <row r="149" spans="3:24" x14ac:dyDescent="0.35">
      <c r="C149" s="2" t="s">
        <v>13</v>
      </c>
      <c r="D149" s="3">
        <v>42643</v>
      </c>
      <c r="E149">
        <v>84.316898906564504</v>
      </c>
      <c r="F149">
        <v>81.038082237743495</v>
      </c>
      <c r="G149">
        <v>60.230308549980599</v>
      </c>
      <c r="H149">
        <v>76.544332508613294</v>
      </c>
      <c r="I149">
        <v>298632</v>
      </c>
      <c r="J149">
        <v>63.636363636363598</v>
      </c>
      <c r="K149">
        <v>10</v>
      </c>
      <c r="L149" t="b">
        <v>1</v>
      </c>
      <c r="M149">
        <v>54997</v>
      </c>
      <c r="N149" s="2" t="s">
        <v>100</v>
      </c>
      <c r="O149" t="b">
        <v>1</v>
      </c>
      <c r="P149">
        <v>39673.53</v>
      </c>
      <c r="Q149">
        <v>86.761782529177495</v>
      </c>
      <c r="R149" s="2" t="s">
        <v>100</v>
      </c>
      <c r="S149">
        <v>72.383720930232499</v>
      </c>
      <c r="T149">
        <v>2.4500000000000002</v>
      </c>
      <c r="U149" s="2" t="s">
        <v>100</v>
      </c>
      <c r="V149" t="b">
        <v>1</v>
      </c>
      <c r="W149" t="b">
        <v>1</v>
      </c>
      <c r="X149">
        <v>68.817204301075193</v>
      </c>
    </row>
    <row r="150" spans="3:24" x14ac:dyDescent="0.35">
      <c r="C150" s="2" t="s">
        <v>14</v>
      </c>
      <c r="D150" s="3">
        <v>46022</v>
      </c>
      <c r="E150">
        <v>95.282055682855997</v>
      </c>
      <c r="F150">
        <v>82.965779059415397</v>
      </c>
      <c r="G150">
        <v>90.897828338206594</v>
      </c>
      <c r="H150">
        <v>87.594860633555697</v>
      </c>
      <c r="I150">
        <v>60537</v>
      </c>
      <c r="J150">
        <v>81.818181818181799</v>
      </c>
      <c r="K150">
        <v>10</v>
      </c>
      <c r="L150" t="b">
        <v>1</v>
      </c>
      <c r="M150">
        <v>4009</v>
      </c>
      <c r="N150" s="2" t="s">
        <v>100</v>
      </c>
      <c r="O150" t="b">
        <v>1</v>
      </c>
      <c r="P150">
        <v>1900000</v>
      </c>
      <c r="Q150">
        <v>69.909916611739803</v>
      </c>
      <c r="R150" t="b">
        <v>0</v>
      </c>
      <c r="S150">
        <v>70.472837022132794</v>
      </c>
      <c r="T150" s="2" t="s">
        <v>100</v>
      </c>
      <c r="U150" s="2" t="s">
        <v>100</v>
      </c>
      <c r="V150" t="b">
        <v>1</v>
      </c>
      <c r="W150" t="b">
        <v>1</v>
      </c>
      <c r="X150">
        <v>50.7944389275074</v>
      </c>
    </row>
    <row r="151" spans="3:24" x14ac:dyDescent="0.35">
      <c r="C151" s="2" t="s">
        <v>14</v>
      </c>
      <c r="D151" s="3">
        <v>45657</v>
      </c>
      <c r="E151">
        <v>94.649058040999407</v>
      </c>
      <c r="F151">
        <v>79.026439563746194</v>
      </c>
      <c r="G151">
        <v>86.967678462776504</v>
      </c>
      <c r="H151">
        <v>84.134942628121607</v>
      </c>
      <c r="I151">
        <v>71145</v>
      </c>
      <c r="J151">
        <v>83.3333333333333</v>
      </c>
      <c r="K151">
        <v>10</v>
      </c>
      <c r="L151" t="b">
        <v>1</v>
      </c>
      <c r="M151">
        <v>5665</v>
      </c>
      <c r="N151" s="2" t="s">
        <v>100</v>
      </c>
      <c r="O151" t="b">
        <v>1</v>
      </c>
      <c r="P151">
        <v>2200000</v>
      </c>
      <c r="Q151">
        <v>70.2374273937494</v>
      </c>
      <c r="R151" t="b">
        <v>0</v>
      </c>
      <c r="S151">
        <v>25.9</v>
      </c>
      <c r="T151" s="2" t="s">
        <v>100</v>
      </c>
      <c r="U151" s="2" t="s">
        <v>100</v>
      </c>
      <c r="V151" t="b">
        <v>1</v>
      </c>
      <c r="W151" t="b">
        <v>1</v>
      </c>
      <c r="X151">
        <v>51.080550098231797</v>
      </c>
    </row>
    <row r="152" spans="3:24" x14ac:dyDescent="0.35">
      <c r="C152" s="2" t="s">
        <v>14</v>
      </c>
      <c r="D152" s="3">
        <v>45291</v>
      </c>
      <c r="E152">
        <v>95.0966739353793</v>
      </c>
      <c r="F152">
        <v>81.917656374807507</v>
      </c>
      <c r="G152">
        <v>92.431991638057596</v>
      </c>
      <c r="H152">
        <v>87.600595598299904</v>
      </c>
      <c r="I152">
        <v>75494</v>
      </c>
      <c r="J152">
        <v>81.818181818181799</v>
      </c>
      <c r="K152">
        <v>11</v>
      </c>
      <c r="L152" t="b">
        <v>1</v>
      </c>
      <c r="M152">
        <v>5635</v>
      </c>
      <c r="N152" s="2" t="s">
        <v>100</v>
      </c>
      <c r="O152" t="b">
        <v>1</v>
      </c>
      <c r="P152">
        <v>2600000</v>
      </c>
      <c r="Q152">
        <v>71.154811864450707</v>
      </c>
      <c r="R152" t="b">
        <v>0</v>
      </c>
      <c r="S152">
        <v>25.952626158599301</v>
      </c>
      <c r="T152" s="2" t="s">
        <v>100</v>
      </c>
      <c r="U152">
        <v>66</v>
      </c>
      <c r="V152" t="b">
        <v>1</v>
      </c>
      <c r="W152" t="b">
        <v>1</v>
      </c>
      <c r="X152">
        <v>51.998001998002003</v>
      </c>
    </row>
    <row r="153" spans="3:24" x14ac:dyDescent="0.35">
      <c r="C153" s="2" t="s">
        <v>14</v>
      </c>
      <c r="D153" s="3">
        <v>44926</v>
      </c>
      <c r="E153">
        <v>96.1186205231066</v>
      </c>
      <c r="F153">
        <v>82.986266437398498</v>
      </c>
      <c r="G153">
        <v>87.458802552552498</v>
      </c>
      <c r="H153">
        <v>86.487438427195897</v>
      </c>
      <c r="I153">
        <v>86250</v>
      </c>
      <c r="J153">
        <v>83.3333333333333</v>
      </c>
      <c r="K153">
        <v>11</v>
      </c>
      <c r="L153" t="b">
        <v>1</v>
      </c>
      <c r="M153">
        <v>6189</v>
      </c>
      <c r="N153" s="2" t="s">
        <v>100</v>
      </c>
      <c r="O153" t="b">
        <v>1</v>
      </c>
      <c r="P153">
        <v>2120000</v>
      </c>
      <c r="Q153">
        <v>73.521960578472303</v>
      </c>
      <c r="R153" t="b">
        <v>0</v>
      </c>
      <c r="S153">
        <v>27.010309278350501</v>
      </c>
      <c r="T153" s="2" t="s">
        <v>100</v>
      </c>
      <c r="U153">
        <v>78</v>
      </c>
      <c r="V153" t="b">
        <v>1</v>
      </c>
      <c r="W153" t="b">
        <v>1</v>
      </c>
      <c r="X153">
        <v>52.667984189723299</v>
      </c>
    </row>
    <row r="154" spans="3:24" x14ac:dyDescent="0.35">
      <c r="C154" s="2" t="s">
        <v>14</v>
      </c>
      <c r="D154" s="3">
        <v>44561</v>
      </c>
      <c r="E154">
        <v>86.291194121140094</v>
      </c>
      <c r="F154">
        <v>81.032718026017804</v>
      </c>
      <c r="G154">
        <v>80.988939985592907</v>
      </c>
      <c r="H154">
        <v>81.774178489162395</v>
      </c>
      <c r="I154">
        <v>102661</v>
      </c>
      <c r="J154">
        <v>71.428571428571402</v>
      </c>
      <c r="K154">
        <v>10</v>
      </c>
      <c r="L154" t="b">
        <v>1</v>
      </c>
      <c r="M154">
        <v>6227.63</v>
      </c>
      <c r="N154" s="2" t="s">
        <v>100</v>
      </c>
      <c r="O154" t="b">
        <v>1</v>
      </c>
      <c r="P154">
        <v>2050000</v>
      </c>
      <c r="Q154">
        <v>75.621147307915805</v>
      </c>
      <c r="R154" t="b">
        <v>0</v>
      </c>
      <c r="S154">
        <v>28.1950672645739</v>
      </c>
      <c r="T154" s="2" t="s">
        <v>100</v>
      </c>
      <c r="U154">
        <v>72</v>
      </c>
      <c r="V154" t="b">
        <v>1</v>
      </c>
      <c r="W154" t="b">
        <v>1</v>
      </c>
      <c r="X154">
        <v>53.922594142259399</v>
      </c>
    </row>
    <row r="155" spans="3:24" x14ac:dyDescent="0.35">
      <c r="C155" s="2" t="s">
        <v>14</v>
      </c>
      <c r="D155" s="3">
        <v>44196</v>
      </c>
      <c r="E155">
        <v>84.827942681317893</v>
      </c>
      <c r="F155">
        <v>82.718457791581599</v>
      </c>
      <c r="G155">
        <v>82.514855514855498</v>
      </c>
      <c r="H155">
        <v>82.948926796082205</v>
      </c>
      <c r="I155">
        <v>121159</v>
      </c>
      <c r="J155">
        <v>66.6666666666666</v>
      </c>
      <c r="K155">
        <v>12</v>
      </c>
      <c r="L155" t="b">
        <v>1</v>
      </c>
      <c r="M155">
        <v>8521.5300000000007</v>
      </c>
      <c r="N155" s="2" t="s">
        <v>100</v>
      </c>
      <c r="O155" t="b">
        <v>1</v>
      </c>
      <c r="P155">
        <v>1890000</v>
      </c>
      <c r="Q155">
        <v>78.200069035947806</v>
      </c>
      <c r="R155" t="b">
        <v>0</v>
      </c>
      <c r="S155">
        <v>29.792746113989601</v>
      </c>
      <c r="T155" s="2" t="s">
        <v>100</v>
      </c>
      <c r="U155">
        <v>81</v>
      </c>
      <c r="V155" t="b">
        <v>1</v>
      </c>
      <c r="W155" t="b">
        <v>1</v>
      </c>
      <c r="X155">
        <v>55.594405594405501</v>
      </c>
    </row>
    <row r="156" spans="3:24" x14ac:dyDescent="0.35">
      <c r="C156" s="2" t="s">
        <v>14</v>
      </c>
      <c r="D156" s="3">
        <v>43830</v>
      </c>
      <c r="E156">
        <v>94.238102334749897</v>
      </c>
      <c r="F156">
        <v>80.742927515225901</v>
      </c>
      <c r="G156">
        <v>70.588313413014603</v>
      </c>
      <c r="H156">
        <v>78.031850295488894</v>
      </c>
      <c r="I156">
        <v>150263</v>
      </c>
      <c r="J156">
        <v>64.285714285714207</v>
      </c>
      <c r="K156">
        <v>13</v>
      </c>
      <c r="L156" t="b">
        <v>1</v>
      </c>
      <c r="M156">
        <v>13584.82</v>
      </c>
      <c r="N156" s="2" t="s">
        <v>100</v>
      </c>
      <c r="O156" t="b">
        <v>1</v>
      </c>
      <c r="P156">
        <v>5247340.8</v>
      </c>
      <c r="Q156">
        <v>80.269779293880703</v>
      </c>
      <c r="R156" t="b">
        <v>0</v>
      </c>
      <c r="S156">
        <v>31.3968668407311</v>
      </c>
      <c r="T156" s="2" t="s">
        <v>100</v>
      </c>
      <c r="U156">
        <v>74</v>
      </c>
      <c r="V156" t="b">
        <v>1</v>
      </c>
      <c r="W156" t="b">
        <v>1</v>
      </c>
      <c r="X156">
        <v>54.151404151404101</v>
      </c>
    </row>
    <row r="157" spans="3:24" x14ac:dyDescent="0.35">
      <c r="C157" s="2" t="s">
        <v>14</v>
      </c>
      <c r="D157" s="3">
        <v>43465</v>
      </c>
      <c r="E157">
        <v>94.756404920955006</v>
      </c>
      <c r="F157">
        <v>81.490413905927895</v>
      </c>
      <c r="G157">
        <v>62.779428562754497</v>
      </c>
      <c r="H157">
        <v>75.658032014596799</v>
      </c>
      <c r="I157">
        <v>178418</v>
      </c>
      <c r="J157">
        <v>69.230769230769198</v>
      </c>
      <c r="K157">
        <v>12</v>
      </c>
      <c r="L157" t="b">
        <v>1</v>
      </c>
      <c r="M157">
        <v>14961</v>
      </c>
      <c r="N157" s="2" t="s">
        <v>100</v>
      </c>
      <c r="O157" t="b">
        <v>1</v>
      </c>
      <c r="P157">
        <v>4155392</v>
      </c>
      <c r="Q157">
        <v>82.220517481419506</v>
      </c>
      <c r="R157" t="b">
        <v>0</v>
      </c>
      <c r="S157">
        <v>32.1005917159763</v>
      </c>
      <c r="T157" s="2" t="s">
        <v>100</v>
      </c>
      <c r="U157">
        <v>73</v>
      </c>
      <c r="V157" t="b">
        <v>1</v>
      </c>
      <c r="W157" t="b">
        <v>1</v>
      </c>
      <c r="X157">
        <v>56.7243675099866</v>
      </c>
    </row>
    <row r="158" spans="3:24" x14ac:dyDescent="0.35">
      <c r="C158" s="2" t="s">
        <v>14</v>
      </c>
      <c r="D158" s="3">
        <v>43100</v>
      </c>
      <c r="E158">
        <v>94.544711423068705</v>
      </c>
      <c r="F158">
        <v>83.552687090560596</v>
      </c>
      <c r="G158">
        <v>72.6342947151159</v>
      </c>
      <c r="H158">
        <v>80.314545276416993</v>
      </c>
      <c r="I158">
        <v>214679</v>
      </c>
      <c r="J158">
        <v>71.428571428571402</v>
      </c>
      <c r="K158">
        <v>12</v>
      </c>
      <c r="L158" t="b">
        <v>0</v>
      </c>
      <c r="M158">
        <v>15631</v>
      </c>
      <c r="N158" s="2" t="s">
        <v>100</v>
      </c>
      <c r="O158" t="b">
        <v>1</v>
      </c>
      <c r="P158">
        <v>3042144</v>
      </c>
      <c r="Q158">
        <v>85.960763534790999</v>
      </c>
      <c r="R158" s="2" t="s">
        <v>100</v>
      </c>
      <c r="S158">
        <v>32.2075782537067</v>
      </c>
      <c r="T158">
        <v>0.36799999999999999</v>
      </c>
      <c r="U158">
        <v>76</v>
      </c>
      <c r="V158" t="b">
        <v>1</v>
      </c>
      <c r="W158" t="b">
        <v>1</v>
      </c>
      <c r="X158">
        <v>58.034433285509301</v>
      </c>
    </row>
    <row r="159" spans="3:24" x14ac:dyDescent="0.35">
      <c r="C159" s="2" t="s">
        <v>14</v>
      </c>
      <c r="D159" s="3">
        <v>42735</v>
      </c>
      <c r="E159">
        <v>93.973442288049</v>
      </c>
      <c r="F159">
        <v>82.680488416511096</v>
      </c>
      <c r="G159">
        <v>71.147678975547805</v>
      </c>
      <c r="H159">
        <v>79.397079670165994</v>
      </c>
      <c r="I159">
        <v>255342</v>
      </c>
      <c r="J159">
        <v>64.285714285714207</v>
      </c>
      <c r="K159">
        <v>13</v>
      </c>
      <c r="L159" t="b">
        <v>0</v>
      </c>
      <c r="M159">
        <v>18444</v>
      </c>
      <c r="N159" s="2" t="s">
        <v>100</v>
      </c>
      <c r="O159" t="b">
        <v>1</v>
      </c>
      <c r="P159">
        <v>3380784</v>
      </c>
      <c r="Q159">
        <v>86.761782529177495</v>
      </c>
      <c r="R159" s="2" t="s">
        <v>100</v>
      </c>
      <c r="S159">
        <v>31.086519114688102</v>
      </c>
      <c r="T159">
        <v>0.38300000000000001</v>
      </c>
      <c r="U159">
        <v>71</v>
      </c>
      <c r="V159" t="b">
        <v>1</v>
      </c>
      <c r="W159" t="b">
        <v>1</v>
      </c>
      <c r="X159">
        <v>58.215547703180199</v>
      </c>
    </row>
    <row r="160" spans="3:24" x14ac:dyDescent="0.35">
      <c r="C160" s="2" t="s">
        <v>15</v>
      </c>
      <c r="D160" s="3">
        <v>46022</v>
      </c>
      <c r="E160">
        <v>76.447096270542502</v>
      </c>
      <c r="F160">
        <v>86.992838332806301</v>
      </c>
      <c r="G160">
        <v>77.7201900977756</v>
      </c>
      <c r="H160">
        <v>81.563736588989798</v>
      </c>
      <c r="I160">
        <v>669699</v>
      </c>
      <c r="J160">
        <v>53.3333333333333</v>
      </c>
      <c r="K160">
        <v>13</v>
      </c>
      <c r="L160" t="b">
        <v>1</v>
      </c>
      <c r="M160">
        <v>151218</v>
      </c>
      <c r="N160">
        <v>8469</v>
      </c>
      <c r="O160" t="b">
        <v>1</v>
      </c>
      <c r="P160">
        <v>761389</v>
      </c>
      <c r="Q160">
        <v>69.909916611739803</v>
      </c>
      <c r="R160" t="b">
        <v>0</v>
      </c>
      <c r="S160">
        <v>87.815126050420105</v>
      </c>
      <c r="T160">
        <v>1.4797</v>
      </c>
      <c r="U160">
        <v>88</v>
      </c>
      <c r="V160" t="b">
        <v>1</v>
      </c>
      <c r="W160" t="b">
        <v>1</v>
      </c>
      <c r="X160">
        <v>52.941176470588204</v>
      </c>
    </row>
    <row r="161" spans="3:24" x14ac:dyDescent="0.35">
      <c r="C161" s="2" t="s">
        <v>15</v>
      </c>
      <c r="D161" s="3">
        <v>45657</v>
      </c>
      <c r="E161">
        <v>76.8656670596325</v>
      </c>
      <c r="F161">
        <v>87.462165823321001</v>
      </c>
      <c r="G161">
        <v>86.9440054188304</v>
      </c>
      <c r="H161">
        <v>84.185532252805103</v>
      </c>
      <c r="I161">
        <v>689239</v>
      </c>
      <c r="J161">
        <v>56.25</v>
      </c>
      <c r="K161">
        <v>13</v>
      </c>
      <c r="L161" t="b">
        <v>1</v>
      </c>
      <c r="M161">
        <v>151616</v>
      </c>
      <c r="N161">
        <v>10181</v>
      </c>
      <c r="O161" t="b">
        <v>1</v>
      </c>
      <c r="P161">
        <v>659353</v>
      </c>
      <c r="Q161">
        <v>70.2374273937494</v>
      </c>
      <c r="R161" t="b">
        <v>0</v>
      </c>
      <c r="S161">
        <v>85.169491525423695</v>
      </c>
      <c r="T161">
        <v>1.4804299999999999</v>
      </c>
      <c r="U161">
        <v>88</v>
      </c>
      <c r="V161" t="b">
        <v>1</v>
      </c>
      <c r="W161" t="b">
        <v>1</v>
      </c>
      <c r="X161">
        <v>53.389830508474503</v>
      </c>
    </row>
    <row r="162" spans="3:24" x14ac:dyDescent="0.35">
      <c r="C162" s="2" t="s">
        <v>15</v>
      </c>
      <c r="D162" s="3">
        <v>45291</v>
      </c>
      <c r="E162">
        <v>80.969411127769405</v>
      </c>
      <c r="F162">
        <v>90.185588270270202</v>
      </c>
      <c r="G162">
        <v>91.825252228425896</v>
      </c>
      <c r="H162">
        <v>87.853325890198406</v>
      </c>
      <c r="I162">
        <v>653099</v>
      </c>
      <c r="J162">
        <v>40</v>
      </c>
      <c r="K162">
        <v>13</v>
      </c>
      <c r="L162" t="b">
        <v>1</v>
      </c>
      <c r="M162">
        <v>114691</v>
      </c>
      <c r="N162">
        <v>15213</v>
      </c>
      <c r="O162" t="b">
        <v>1</v>
      </c>
      <c r="P162">
        <v>837292</v>
      </c>
      <c r="Q162">
        <v>71.154811864450707</v>
      </c>
      <c r="R162" t="b">
        <v>0</v>
      </c>
      <c r="S162">
        <v>88.034188034188006</v>
      </c>
      <c r="T162">
        <v>1.4066000000000001</v>
      </c>
      <c r="U162">
        <v>86</v>
      </c>
      <c r="V162" t="b">
        <v>1</v>
      </c>
      <c r="W162" t="b">
        <v>1</v>
      </c>
      <c r="X162">
        <v>55.932203389830498</v>
      </c>
    </row>
    <row r="163" spans="3:24" x14ac:dyDescent="0.35">
      <c r="C163" s="2" t="s">
        <v>15</v>
      </c>
      <c r="D163" s="3">
        <v>44926</v>
      </c>
      <c r="E163">
        <v>82.627914735215597</v>
      </c>
      <c r="F163">
        <v>92.110336962801199</v>
      </c>
      <c r="G163">
        <v>84.356029532403596</v>
      </c>
      <c r="H163">
        <v>87.373090004575403</v>
      </c>
      <c r="I163">
        <v>647753</v>
      </c>
      <c r="J163">
        <v>46.153846153846096</v>
      </c>
      <c r="K163">
        <v>13</v>
      </c>
      <c r="L163" t="b">
        <v>1</v>
      </c>
      <c r="M163">
        <v>186483</v>
      </c>
      <c r="N163">
        <v>13833</v>
      </c>
      <c r="O163" t="b">
        <v>1</v>
      </c>
      <c r="P163">
        <v>963204</v>
      </c>
      <c r="Q163">
        <v>73.521960578472303</v>
      </c>
      <c r="R163" t="b">
        <v>0</v>
      </c>
      <c r="S163">
        <v>91.739130434782595</v>
      </c>
      <c r="T163">
        <v>2.1181800000000002</v>
      </c>
      <c r="U163">
        <v>85</v>
      </c>
      <c r="V163" t="b">
        <v>1</v>
      </c>
      <c r="W163" t="b">
        <v>1</v>
      </c>
      <c r="X163">
        <v>56.8965517241379</v>
      </c>
    </row>
    <row r="164" spans="3:24" x14ac:dyDescent="0.35">
      <c r="C164" s="2" t="s">
        <v>15</v>
      </c>
      <c r="D164" s="3">
        <v>44561</v>
      </c>
      <c r="E164">
        <v>88.801353874883205</v>
      </c>
      <c r="F164">
        <v>91.827071409880205</v>
      </c>
      <c r="G164">
        <v>87.377830502830506</v>
      </c>
      <c r="H164">
        <v>89.8264959616981</v>
      </c>
      <c r="I164">
        <v>621850</v>
      </c>
      <c r="J164">
        <v>40</v>
      </c>
      <c r="K164">
        <v>13</v>
      </c>
      <c r="L164" t="b">
        <v>1</v>
      </c>
      <c r="M164">
        <v>109894</v>
      </c>
      <c r="N164">
        <v>375</v>
      </c>
      <c r="O164" t="b">
        <v>1</v>
      </c>
      <c r="P164">
        <v>796942</v>
      </c>
      <c r="Q164">
        <v>75.621147307915805</v>
      </c>
      <c r="R164" s="2" t="s">
        <v>100</v>
      </c>
      <c r="S164">
        <v>91.262135922330103</v>
      </c>
      <c r="T164">
        <v>1.29762</v>
      </c>
      <c r="U164">
        <v>88</v>
      </c>
      <c r="V164" t="b">
        <v>1</v>
      </c>
      <c r="W164" t="b">
        <v>1</v>
      </c>
      <c r="X164">
        <v>60.7476635514018</v>
      </c>
    </row>
    <row r="165" spans="3:24" x14ac:dyDescent="0.35">
      <c r="C165" s="2" t="s">
        <v>15</v>
      </c>
      <c r="D165" s="3">
        <v>44196</v>
      </c>
      <c r="E165">
        <v>79.328336071558894</v>
      </c>
      <c r="F165">
        <v>91.634717593854802</v>
      </c>
      <c r="G165">
        <v>95.522167487684698</v>
      </c>
      <c r="H165">
        <v>88.940855932332596</v>
      </c>
      <c r="I165">
        <v>547895</v>
      </c>
      <c r="J165">
        <v>46.153846153846096</v>
      </c>
      <c r="K165">
        <v>13</v>
      </c>
      <c r="L165" t="b">
        <v>1</v>
      </c>
      <c r="M165">
        <v>101805</v>
      </c>
      <c r="N165">
        <v>352</v>
      </c>
      <c r="O165" t="b">
        <v>1</v>
      </c>
      <c r="P165">
        <v>720146</v>
      </c>
      <c r="Q165">
        <v>78.200069035947806</v>
      </c>
      <c r="R165" s="2" t="s">
        <v>100</v>
      </c>
      <c r="S165">
        <v>91.176470588235205</v>
      </c>
      <c r="T165">
        <v>1.792</v>
      </c>
      <c r="U165">
        <v>88</v>
      </c>
      <c r="V165" t="b">
        <v>1</v>
      </c>
      <c r="W165" t="b">
        <v>1</v>
      </c>
      <c r="X165">
        <v>61.413043478260803</v>
      </c>
    </row>
    <row r="166" spans="3:24" x14ac:dyDescent="0.35">
      <c r="C166" s="2" t="s">
        <v>15</v>
      </c>
      <c r="D166" s="3">
        <v>43830</v>
      </c>
      <c r="E166">
        <v>79.586862125586293</v>
      </c>
      <c r="F166">
        <v>91.573355682468303</v>
      </c>
      <c r="G166">
        <v>96.932728038922704</v>
      </c>
      <c r="H166">
        <v>89.338973861113701</v>
      </c>
      <c r="I166">
        <v>580053</v>
      </c>
      <c r="J166">
        <v>42.857142857142797</v>
      </c>
      <c r="K166">
        <v>13</v>
      </c>
      <c r="L166" t="b">
        <v>1</v>
      </c>
      <c r="M166">
        <v>120783</v>
      </c>
      <c r="N166">
        <v>406</v>
      </c>
      <c r="O166" t="b">
        <v>1</v>
      </c>
      <c r="P166">
        <v>647590</v>
      </c>
      <c r="Q166">
        <v>80.269779293880703</v>
      </c>
      <c r="R166" s="2" t="s">
        <v>100</v>
      </c>
      <c r="S166">
        <v>88.961038961038895</v>
      </c>
      <c r="T166">
        <v>1.724</v>
      </c>
      <c r="U166">
        <v>90</v>
      </c>
      <c r="V166" t="b">
        <v>1</v>
      </c>
      <c r="W166" t="b">
        <v>1</v>
      </c>
      <c r="X166">
        <v>62.209302325581397</v>
      </c>
    </row>
    <row r="167" spans="3:24" x14ac:dyDescent="0.35">
      <c r="C167" s="2" t="s">
        <v>15</v>
      </c>
      <c r="D167" s="3">
        <v>43465</v>
      </c>
      <c r="E167">
        <v>79.8855460082778</v>
      </c>
      <c r="F167">
        <v>91.448136379780607</v>
      </c>
      <c r="G167">
        <v>96.809146180280194</v>
      </c>
      <c r="H167">
        <v>89.340106453845607</v>
      </c>
      <c r="I167">
        <v>626050</v>
      </c>
      <c r="J167">
        <v>46.153846153846096</v>
      </c>
      <c r="K167">
        <v>13</v>
      </c>
      <c r="L167" t="b">
        <v>1</v>
      </c>
      <c r="M167">
        <v>105549</v>
      </c>
      <c r="N167">
        <v>410</v>
      </c>
      <c r="O167" t="b">
        <v>1</v>
      </c>
      <c r="P167">
        <v>779868</v>
      </c>
      <c r="Q167">
        <v>82.220517481419506</v>
      </c>
      <c r="R167" s="2" t="s">
        <v>100</v>
      </c>
      <c r="S167">
        <v>92.5</v>
      </c>
      <c r="T167">
        <v>1.9159999999999999</v>
      </c>
      <c r="U167">
        <v>88</v>
      </c>
      <c r="V167" t="b">
        <v>1</v>
      </c>
      <c r="W167" t="b">
        <v>1</v>
      </c>
      <c r="X167">
        <v>66.197183098591495</v>
      </c>
    </row>
    <row r="168" spans="3:24" x14ac:dyDescent="0.35">
      <c r="C168" s="2" t="s">
        <v>15</v>
      </c>
      <c r="D168" s="3">
        <v>43100</v>
      </c>
      <c r="E168">
        <v>80.802278158249507</v>
      </c>
      <c r="F168">
        <v>92.347481848199706</v>
      </c>
      <c r="G168">
        <v>92.425995024875604</v>
      </c>
      <c r="H168">
        <v>88.936709323815094</v>
      </c>
      <c r="I168">
        <v>643059</v>
      </c>
      <c r="J168">
        <v>50</v>
      </c>
      <c r="K168">
        <v>12</v>
      </c>
      <c r="L168" t="b">
        <v>1</v>
      </c>
      <c r="M168">
        <v>101703</v>
      </c>
      <c r="N168">
        <v>547</v>
      </c>
      <c r="O168" t="b">
        <v>1</v>
      </c>
      <c r="P168">
        <v>597368.1</v>
      </c>
      <c r="Q168">
        <v>85.960763534790999</v>
      </c>
      <c r="R168" s="2" t="s">
        <v>100</v>
      </c>
      <c r="S168">
        <v>93.103448275862107</v>
      </c>
      <c r="T168">
        <v>2.802</v>
      </c>
      <c r="U168">
        <v>89</v>
      </c>
      <c r="V168" t="b">
        <v>1</v>
      </c>
      <c r="W168" t="b">
        <v>1</v>
      </c>
      <c r="X168">
        <v>69.565217391304301</v>
      </c>
    </row>
    <row r="169" spans="3:24" x14ac:dyDescent="0.35">
      <c r="C169" s="2" t="s">
        <v>15</v>
      </c>
      <c r="D169" s="3">
        <v>42735</v>
      </c>
      <c r="E169">
        <v>77.969891660367793</v>
      </c>
      <c r="F169">
        <v>91.903005247257099</v>
      </c>
      <c r="G169">
        <v>93.6446649410411</v>
      </c>
      <c r="H169">
        <v>88.194540611924097</v>
      </c>
      <c r="I169">
        <v>630120</v>
      </c>
      <c r="J169">
        <v>47.058823529411697</v>
      </c>
      <c r="K169">
        <v>13</v>
      </c>
      <c r="L169" t="b">
        <v>1</v>
      </c>
      <c r="M169">
        <v>99369</v>
      </c>
      <c r="N169">
        <v>589</v>
      </c>
      <c r="O169" t="b">
        <v>1</v>
      </c>
      <c r="P169">
        <v>599901.9</v>
      </c>
      <c r="Q169">
        <v>86.761782529177495</v>
      </c>
      <c r="R169" s="2" t="s">
        <v>100</v>
      </c>
      <c r="S169">
        <v>99</v>
      </c>
      <c r="T169" s="2" t="s">
        <v>100</v>
      </c>
      <c r="U169">
        <v>88</v>
      </c>
      <c r="V169" t="b">
        <v>1</v>
      </c>
      <c r="W169" t="b">
        <v>1</v>
      </c>
      <c r="X169">
        <v>71.818181818181799</v>
      </c>
    </row>
    <row r="170" spans="3:24" x14ac:dyDescent="0.35">
      <c r="C170" s="2" t="s">
        <v>16</v>
      </c>
      <c r="D170" s="3">
        <v>46022</v>
      </c>
      <c r="E170">
        <v>67.091770888917395</v>
      </c>
      <c r="F170">
        <v>75.560374495682595</v>
      </c>
      <c r="G170">
        <v>71.132051047758196</v>
      </c>
      <c r="H170">
        <v>72.310626269279297</v>
      </c>
      <c r="I170">
        <v>69004</v>
      </c>
      <c r="J170">
        <v>76.923076923076906</v>
      </c>
      <c r="K170">
        <v>13</v>
      </c>
      <c r="L170" t="b">
        <v>1</v>
      </c>
      <c r="M170" s="2" t="s">
        <v>100</v>
      </c>
      <c r="N170" s="2" t="s">
        <v>100</v>
      </c>
      <c r="O170" t="b">
        <v>1</v>
      </c>
      <c r="P170">
        <v>809280</v>
      </c>
      <c r="Q170">
        <v>69.909916611739803</v>
      </c>
      <c r="R170" t="b">
        <v>0</v>
      </c>
      <c r="S170">
        <v>42.111959287531803</v>
      </c>
      <c r="T170" s="2" t="s">
        <v>100</v>
      </c>
      <c r="U170">
        <v>74</v>
      </c>
      <c r="V170" t="b">
        <v>1</v>
      </c>
      <c r="W170" t="b">
        <v>1</v>
      </c>
      <c r="X170">
        <v>54.418604651162703</v>
      </c>
    </row>
    <row r="171" spans="3:24" x14ac:dyDescent="0.35">
      <c r="C171" s="2" t="s">
        <v>16</v>
      </c>
      <c r="D171" s="3">
        <v>45657</v>
      </c>
      <c r="E171">
        <v>74.838939181745999</v>
      </c>
      <c r="F171">
        <v>83.150883276285896</v>
      </c>
      <c r="G171">
        <v>71.982660765340398</v>
      </c>
      <c r="H171">
        <v>76.780093035158103</v>
      </c>
      <c r="I171">
        <v>75624</v>
      </c>
      <c r="J171">
        <v>61.538461538461497</v>
      </c>
      <c r="K171">
        <v>11</v>
      </c>
      <c r="L171" t="b">
        <v>1</v>
      </c>
      <c r="M171">
        <v>7438</v>
      </c>
      <c r="N171" s="2" t="s">
        <v>100</v>
      </c>
      <c r="O171" t="b">
        <v>1</v>
      </c>
      <c r="P171">
        <v>893486</v>
      </c>
      <c r="Q171">
        <v>70.2374273937494</v>
      </c>
      <c r="R171" t="b">
        <v>0</v>
      </c>
      <c r="S171">
        <v>42.146596858638702</v>
      </c>
      <c r="T171" s="2" t="s">
        <v>100</v>
      </c>
      <c r="U171">
        <v>74</v>
      </c>
      <c r="V171" t="b">
        <v>1</v>
      </c>
      <c r="W171" t="b">
        <v>1</v>
      </c>
      <c r="X171">
        <v>53.1941031941031</v>
      </c>
    </row>
    <row r="172" spans="3:24" x14ac:dyDescent="0.35">
      <c r="C172" s="2" t="s">
        <v>16</v>
      </c>
      <c r="D172" s="3">
        <v>45291</v>
      </c>
      <c r="E172">
        <v>80.547150838560498</v>
      </c>
      <c r="F172">
        <v>84.224289942038695</v>
      </c>
      <c r="G172">
        <v>57.089809783832898</v>
      </c>
      <c r="H172">
        <v>71.056486988502797</v>
      </c>
      <c r="I172">
        <v>73836</v>
      </c>
      <c r="J172">
        <v>57.142857142857103</v>
      </c>
      <c r="K172">
        <v>12</v>
      </c>
      <c r="L172" t="b">
        <v>1</v>
      </c>
      <c r="M172">
        <v>7808</v>
      </c>
      <c r="N172" s="2" t="s">
        <v>100</v>
      </c>
      <c r="O172" t="b">
        <v>1</v>
      </c>
      <c r="P172">
        <v>539868</v>
      </c>
      <c r="Q172">
        <v>71.154811864450707</v>
      </c>
      <c r="R172" t="b">
        <v>0</v>
      </c>
      <c r="S172">
        <v>41.8032786885245</v>
      </c>
      <c r="T172" s="2" t="s">
        <v>100</v>
      </c>
      <c r="U172">
        <v>75</v>
      </c>
      <c r="V172" t="b">
        <v>1</v>
      </c>
      <c r="W172" t="b">
        <v>1</v>
      </c>
      <c r="X172">
        <v>54.145728643216103</v>
      </c>
    </row>
    <row r="173" spans="3:24" x14ac:dyDescent="0.35">
      <c r="C173" s="2" t="s">
        <v>16</v>
      </c>
      <c r="D173" s="3">
        <v>44926</v>
      </c>
      <c r="E173">
        <v>72.208877434496102</v>
      </c>
      <c r="F173">
        <v>84.609335997085196</v>
      </c>
      <c r="G173">
        <v>56.758101851851798</v>
      </c>
      <c r="H173">
        <v>69.8869346796711</v>
      </c>
      <c r="I173">
        <v>71283</v>
      </c>
      <c r="J173">
        <v>64.285714285714207</v>
      </c>
      <c r="K173">
        <v>13</v>
      </c>
      <c r="L173" t="b">
        <v>1</v>
      </c>
      <c r="M173">
        <v>1945</v>
      </c>
      <c r="N173" s="2" t="s">
        <v>100</v>
      </c>
      <c r="O173" t="b">
        <v>1</v>
      </c>
      <c r="P173">
        <v>425845</v>
      </c>
      <c r="Q173">
        <v>73.521960578472303</v>
      </c>
      <c r="R173" t="b">
        <v>0</v>
      </c>
      <c r="S173">
        <v>42.9166666666666</v>
      </c>
      <c r="T173" s="2" t="s">
        <v>100</v>
      </c>
      <c r="U173">
        <v>75</v>
      </c>
      <c r="V173" t="b">
        <v>1</v>
      </c>
      <c r="W173" t="b">
        <v>1</v>
      </c>
      <c r="X173">
        <v>55.236907730673302</v>
      </c>
    </row>
    <row r="174" spans="3:24" x14ac:dyDescent="0.35">
      <c r="C174" s="2" t="s">
        <v>16</v>
      </c>
      <c r="D174" s="3">
        <v>44561</v>
      </c>
      <c r="E174">
        <v>62.667133545455599</v>
      </c>
      <c r="F174">
        <v>78.899972704037296</v>
      </c>
      <c r="G174">
        <v>61.1369485423375</v>
      </c>
      <c r="H174">
        <v>68.345781865515704</v>
      </c>
      <c r="I174">
        <v>107566</v>
      </c>
      <c r="J174">
        <v>64.285714285714207</v>
      </c>
      <c r="K174">
        <v>13</v>
      </c>
      <c r="L174" t="b">
        <v>1</v>
      </c>
      <c r="M174">
        <v>1078</v>
      </c>
      <c r="N174" s="2" t="s">
        <v>100</v>
      </c>
      <c r="O174" t="b">
        <v>1</v>
      </c>
      <c r="P174" s="2" t="s">
        <v>100</v>
      </c>
      <c r="Q174">
        <v>75.621147307915805</v>
      </c>
      <c r="R174" t="b">
        <v>0</v>
      </c>
      <c r="S174">
        <v>43.809523809523803</v>
      </c>
      <c r="T174" s="2" t="s">
        <v>100</v>
      </c>
      <c r="U174">
        <v>73</v>
      </c>
      <c r="V174" t="b">
        <v>1</v>
      </c>
      <c r="W174" t="b">
        <v>1</v>
      </c>
      <c r="X174">
        <v>57.123287671232802</v>
      </c>
    </row>
    <row r="175" spans="3:24" x14ac:dyDescent="0.35">
      <c r="C175" s="2" t="s">
        <v>16</v>
      </c>
      <c r="D175" s="3">
        <v>44196</v>
      </c>
      <c r="E175">
        <v>65.513911989682896</v>
      </c>
      <c r="F175">
        <v>86.464449570818402</v>
      </c>
      <c r="G175">
        <v>71.534798534798497</v>
      </c>
      <c r="H175">
        <v>76.571531913137306</v>
      </c>
      <c r="I175">
        <v>16949</v>
      </c>
      <c r="J175">
        <v>73.3333333333333</v>
      </c>
      <c r="K175">
        <v>9</v>
      </c>
      <c r="L175" t="b">
        <v>1</v>
      </c>
      <c r="M175">
        <v>442</v>
      </c>
      <c r="N175" s="2" t="s">
        <v>100</v>
      </c>
      <c r="O175" t="b">
        <v>1</v>
      </c>
      <c r="P175">
        <v>82993</v>
      </c>
      <c r="Q175">
        <v>78.200069035947806</v>
      </c>
      <c r="R175" t="b">
        <v>0</v>
      </c>
      <c r="S175">
        <v>43.7735849056603</v>
      </c>
      <c r="T175" s="2" t="s">
        <v>100</v>
      </c>
      <c r="U175">
        <v>81</v>
      </c>
      <c r="V175" t="b">
        <v>1</v>
      </c>
      <c r="W175" t="b">
        <v>1</v>
      </c>
      <c r="X175">
        <v>59.908536585365802</v>
      </c>
    </row>
    <row r="176" spans="3:24" x14ac:dyDescent="0.35">
      <c r="C176" s="2" t="s">
        <v>16</v>
      </c>
      <c r="D176" s="3">
        <v>43830</v>
      </c>
      <c r="E176">
        <v>83.860555411348003</v>
      </c>
      <c r="F176">
        <v>86.520333563306195</v>
      </c>
      <c r="G176">
        <v>67.418730873607004</v>
      </c>
      <c r="H176">
        <v>75.3602097394878</v>
      </c>
      <c r="I176">
        <v>20786</v>
      </c>
      <c r="J176">
        <v>78.571428571428498</v>
      </c>
      <c r="K176">
        <v>13</v>
      </c>
      <c r="L176" t="b">
        <v>1</v>
      </c>
      <c r="M176">
        <v>822</v>
      </c>
      <c r="N176" s="2" t="s">
        <v>100</v>
      </c>
      <c r="O176" t="b">
        <v>1</v>
      </c>
      <c r="P176">
        <v>74770</v>
      </c>
      <c r="Q176">
        <v>80.269779293880703</v>
      </c>
      <c r="R176" t="b">
        <v>0</v>
      </c>
      <c r="S176">
        <v>45.238095238095198</v>
      </c>
      <c r="T176">
        <v>0</v>
      </c>
      <c r="U176">
        <v>81</v>
      </c>
      <c r="V176" t="b">
        <v>1</v>
      </c>
      <c r="W176" t="b">
        <v>1</v>
      </c>
      <c r="X176">
        <v>58.305084745762699</v>
      </c>
    </row>
    <row r="177" spans="3:24" x14ac:dyDescent="0.35">
      <c r="C177" s="2" t="s">
        <v>16</v>
      </c>
      <c r="D177" s="3">
        <v>43465</v>
      </c>
      <c r="E177">
        <v>86.680720806905995</v>
      </c>
      <c r="F177">
        <v>86.238058441810395</v>
      </c>
      <c r="G177">
        <v>58.576150521230602</v>
      </c>
      <c r="H177">
        <v>71.516532676229403</v>
      </c>
      <c r="I177">
        <v>21439</v>
      </c>
      <c r="J177">
        <v>73.3333333333333</v>
      </c>
      <c r="K177">
        <v>12</v>
      </c>
      <c r="L177" t="b">
        <v>1</v>
      </c>
      <c r="M177">
        <v>874</v>
      </c>
      <c r="N177" s="2" t="s">
        <v>100</v>
      </c>
      <c r="O177" t="b">
        <v>1</v>
      </c>
      <c r="P177">
        <v>63150</v>
      </c>
      <c r="Q177">
        <v>82.220517481419506</v>
      </c>
      <c r="R177" s="2" t="s">
        <v>100</v>
      </c>
      <c r="S177">
        <v>46.534653465346501</v>
      </c>
      <c r="T177">
        <v>0</v>
      </c>
      <c r="U177" s="2" t="s">
        <v>100</v>
      </c>
      <c r="V177" t="b">
        <v>1</v>
      </c>
      <c r="W177" t="b">
        <v>1</v>
      </c>
      <c r="X177">
        <v>59.677419354838698</v>
      </c>
    </row>
    <row r="178" spans="3:24" x14ac:dyDescent="0.35">
      <c r="C178" s="2" t="s">
        <v>16</v>
      </c>
      <c r="D178" s="3">
        <v>43100</v>
      </c>
      <c r="E178">
        <v>81.547216783612797</v>
      </c>
      <c r="F178">
        <v>81.702543544648805</v>
      </c>
      <c r="G178">
        <v>60.206280271954597</v>
      </c>
      <c r="H178">
        <v>68.848719407554498</v>
      </c>
      <c r="I178">
        <v>23768</v>
      </c>
      <c r="J178">
        <v>66.6666666666666</v>
      </c>
      <c r="K178">
        <v>11</v>
      </c>
      <c r="L178" t="b">
        <v>1</v>
      </c>
      <c r="M178">
        <v>946</v>
      </c>
      <c r="N178" s="2" t="s">
        <v>100</v>
      </c>
      <c r="O178" t="b">
        <v>1</v>
      </c>
      <c r="P178">
        <v>41675</v>
      </c>
      <c r="Q178">
        <v>85.960763534790999</v>
      </c>
      <c r="R178" s="2" t="s">
        <v>100</v>
      </c>
      <c r="S178">
        <v>45.454545454545404</v>
      </c>
      <c r="T178">
        <v>0</v>
      </c>
      <c r="U178" s="2" t="s">
        <v>100</v>
      </c>
      <c r="V178" t="b">
        <v>1</v>
      </c>
      <c r="W178" t="b">
        <v>1</v>
      </c>
      <c r="X178">
        <v>63.738738738738697</v>
      </c>
    </row>
    <row r="179" spans="3:24" x14ac:dyDescent="0.35">
      <c r="C179" s="2" t="s">
        <v>16</v>
      </c>
      <c r="D179" s="3">
        <v>42735</v>
      </c>
      <c r="E179">
        <v>81.029795158286703</v>
      </c>
      <c r="F179">
        <v>77.7289942733929</v>
      </c>
      <c r="G179">
        <v>44.676684881602903</v>
      </c>
      <c r="H179">
        <v>59.8042191452395</v>
      </c>
      <c r="I179">
        <v>24703</v>
      </c>
      <c r="J179">
        <v>73.3333333333333</v>
      </c>
      <c r="K179">
        <v>11</v>
      </c>
      <c r="L179" t="b">
        <v>1</v>
      </c>
      <c r="M179">
        <v>904</v>
      </c>
      <c r="N179" s="2" t="s">
        <v>100</v>
      </c>
      <c r="O179" t="b">
        <v>1</v>
      </c>
      <c r="P179">
        <v>30000</v>
      </c>
      <c r="Q179">
        <v>86.761782529177495</v>
      </c>
      <c r="R179" s="2" t="s">
        <v>100</v>
      </c>
      <c r="S179">
        <v>48.571428571428498</v>
      </c>
      <c r="T179" s="2" t="s">
        <v>100</v>
      </c>
      <c r="U179">
        <v>82</v>
      </c>
      <c r="V179" t="b">
        <v>1</v>
      </c>
      <c r="W179" t="b">
        <v>1</v>
      </c>
      <c r="X179">
        <v>63.315217391304301</v>
      </c>
    </row>
    <row r="180" spans="3:24" x14ac:dyDescent="0.35">
      <c r="C180" s="2" t="s">
        <v>17</v>
      </c>
      <c r="D180" s="3">
        <v>45837</v>
      </c>
      <c r="E180">
        <v>64.597921365589997</v>
      </c>
      <c r="F180">
        <v>68.157124523886296</v>
      </c>
      <c r="G180">
        <v>66.280686525341096</v>
      </c>
      <c r="H180">
        <v>66.475210186559394</v>
      </c>
      <c r="I180">
        <v>31149</v>
      </c>
      <c r="J180">
        <v>41.6666666666666</v>
      </c>
      <c r="K180">
        <v>12</v>
      </c>
      <c r="L180" t="b">
        <v>1</v>
      </c>
      <c r="M180" s="2" t="s">
        <v>100</v>
      </c>
      <c r="N180" s="2" t="s">
        <v>100</v>
      </c>
      <c r="O180" t="b">
        <v>1</v>
      </c>
      <c r="P180">
        <v>234668.79999999999</v>
      </c>
      <c r="Q180">
        <v>69.909916611739803</v>
      </c>
      <c r="R180" t="b">
        <v>0</v>
      </c>
      <c r="S180">
        <v>60.060975609756099</v>
      </c>
      <c r="T180" s="2" t="s">
        <v>100</v>
      </c>
      <c r="U180">
        <v>74.900000000000006</v>
      </c>
      <c r="V180" t="b">
        <v>1</v>
      </c>
      <c r="W180" t="b">
        <v>1</v>
      </c>
      <c r="X180">
        <v>53.571428571428498</v>
      </c>
    </row>
    <row r="181" spans="3:24" x14ac:dyDescent="0.35">
      <c r="C181" s="2" t="s">
        <v>17</v>
      </c>
      <c r="D181" s="3">
        <v>45473</v>
      </c>
      <c r="E181">
        <v>66.871409571905104</v>
      </c>
      <c r="F181">
        <v>64.124220855074498</v>
      </c>
      <c r="G181">
        <v>55.2061293319463</v>
      </c>
      <c r="H181">
        <v>62.741441667682601</v>
      </c>
      <c r="I181">
        <v>21855</v>
      </c>
      <c r="J181">
        <v>60</v>
      </c>
      <c r="K181">
        <v>9</v>
      </c>
      <c r="L181" t="b">
        <v>1</v>
      </c>
      <c r="M181" s="2" t="s">
        <v>100</v>
      </c>
      <c r="N181" s="2" t="s">
        <v>100</v>
      </c>
      <c r="O181" t="b">
        <v>1</v>
      </c>
      <c r="P181">
        <v>205656</v>
      </c>
      <c r="Q181">
        <v>70.2374273937494</v>
      </c>
      <c r="R181" t="b">
        <v>0</v>
      </c>
      <c r="S181">
        <v>38.253012048192701</v>
      </c>
      <c r="T181" s="2" t="s">
        <v>100</v>
      </c>
      <c r="U181">
        <v>74.900000000000006</v>
      </c>
      <c r="V181" t="b">
        <v>1</v>
      </c>
      <c r="W181" t="b">
        <v>1</v>
      </c>
      <c r="X181">
        <v>53.550295857988097</v>
      </c>
    </row>
    <row r="182" spans="3:24" x14ac:dyDescent="0.35">
      <c r="C182" s="2" t="s">
        <v>17</v>
      </c>
      <c r="D182" s="3">
        <v>45107</v>
      </c>
      <c r="E182">
        <v>72.9408624969453</v>
      </c>
      <c r="F182">
        <v>67.457774359850802</v>
      </c>
      <c r="G182">
        <v>52.9200118941421</v>
      </c>
      <c r="H182">
        <v>65.541460251018194</v>
      </c>
      <c r="I182">
        <v>29095</v>
      </c>
      <c r="J182">
        <v>54.545454545454497</v>
      </c>
      <c r="K182">
        <v>11</v>
      </c>
      <c r="L182" t="b">
        <v>1</v>
      </c>
      <c r="M182" s="2" t="s">
        <v>100</v>
      </c>
      <c r="N182" s="2" t="s">
        <v>100</v>
      </c>
      <c r="O182" t="b">
        <v>1</v>
      </c>
      <c r="P182">
        <v>220678.39999999999</v>
      </c>
      <c r="Q182">
        <v>71.154811864450707</v>
      </c>
      <c r="R182" t="b">
        <v>0</v>
      </c>
      <c r="S182">
        <v>40.662650602409599</v>
      </c>
      <c r="T182" s="2" t="s">
        <v>100</v>
      </c>
      <c r="U182">
        <v>84.4</v>
      </c>
      <c r="V182" t="b">
        <v>1</v>
      </c>
      <c r="W182" t="b">
        <v>1</v>
      </c>
      <c r="X182">
        <v>55.294117647058798</v>
      </c>
    </row>
    <row r="183" spans="3:24" x14ac:dyDescent="0.35">
      <c r="C183" s="2" t="s">
        <v>17</v>
      </c>
      <c r="D183" s="3">
        <v>44742</v>
      </c>
      <c r="E183">
        <v>76.387466037147504</v>
      </c>
      <c r="F183">
        <v>69.886308942398898</v>
      </c>
      <c r="G183">
        <v>61.867805305305303</v>
      </c>
      <c r="H183">
        <v>69.998291852591905</v>
      </c>
      <c r="I183">
        <v>28036</v>
      </c>
      <c r="J183">
        <v>55.5555555555555</v>
      </c>
      <c r="K183">
        <v>9</v>
      </c>
      <c r="L183" t="b">
        <v>1</v>
      </c>
      <c r="M183" s="2" t="s">
        <v>100</v>
      </c>
      <c r="N183" s="2" t="s">
        <v>100</v>
      </c>
      <c r="O183" t="b">
        <v>1</v>
      </c>
      <c r="P183">
        <v>180496.8</v>
      </c>
      <c r="Q183">
        <v>73.521960578472303</v>
      </c>
      <c r="R183" t="b">
        <v>0</v>
      </c>
      <c r="S183">
        <v>43.125</v>
      </c>
      <c r="T183" s="2" t="s">
        <v>100</v>
      </c>
      <c r="U183">
        <v>79.400000000000006</v>
      </c>
      <c r="V183" t="b">
        <v>1</v>
      </c>
      <c r="W183" t="b">
        <v>1</v>
      </c>
      <c r="X183">
        <v>58.083832335329298</v>
      </c>
    </row>
    <row r="184" spans="3:24" x14ac:dyDescent="0.35">
      <c r="C184" s="2" t="s">
        <v>17</v>
      </c>
      <c r="D184" s="3">
        <v>44377</v>
      </c>
      <c r="E184">
        <v>76.296411509110897</v>
      </c>
      <c r="F184">
        <v>72.755005087623999</v>
      </c>
      <c r="G184">
        <v>85.927178602512896</v>
      </c>
      <c r="H184">
        <v>77.352246948698607</v>
      </c>
      <c r="I184">
        <v>32742</v>
      </c>
      <c r="J184">
        <v>70</v>
      </c>
      <c r="K184">
        <v>9</v>
      </c>
      <c r="L184" t="b">
        <v>1</v>
      </c>
      <c r="M184" s="2" t="s">
        <v>100</v>
      </c>
      <c r="N184" s="2" t="s">
        <v>100</v>
      </c>
      <c r="O184" t="b">
        <v>1</v>
      </c>
      <c r="P184">
        <v>197464.8</v>
      </c>
      <c r="Q184">
        <v>75.621147307915805</v>
      </c>
      <c r="R184" t="b">
        <v>0</v>
      </c>
      <c r="S184">
        <v>45.422535211267601</v>
      </c>
      <c r="T184" s="2" t="s">
        <v>100</v>
      </c>
      <c r="U184" s="2" t="s">
        <v>100</v>
      </c>
      <c r="V184" t="b">
        <v>1</v>
      </c>
      <c r="W184" t="b">
        <v>1</v>
      </c>
      <c r="X184">
        <v>58.6666666666666</v>
      </c>
    </row>
    <row r="185" spans="3:24" x14ac:dyDescent="0.35">
      <c r="C185" s="2" t="s">
        <v>17</v>
      </c>
      <c r="D185" s="3">
        <v>44012</v>
      </c>
      <c r="E185">
        <v>52.254782254782199</v>
      </c>
      <c r="F185">
        <v>74.422081699727102</v>
      </c>
      <c r="G185">
        <v>78.216931216931201</v>
      </c>
      <c r="H185">
        <v>67.950709347686299</v>
      </c>
      <c r="I185">
        <v>24583</v>
      </c>
      <c r="J185">
        <v>62.5</v>
      </c>
      <c r="K185">
        <v>8</v>
      </c>
      <c r="L185" t="b">
        <v>1</v>
      </c>
      <c r="M185" s="2" t="s">
        <v>100</v>
      </c>
      <c r="N185" s="2" t="s">
        <v>100</v>
      </c>
      <c r="O185" t="b">
        <v>1</v>
      </c>
      <c r="P185">
        <v>218284</v>
      </c>
      <c r="Q185">
        <v>78.200069035947806</v>
      </c>
      <c r="R185" t="b">
        <v>0</v>
      </c>
      <c r="S185">
        <v>47.131147540983598</v>
      </c>
      <c r="T185" s="2" t="s">
        <v>100</v>
      </c>
      <c r="U185">
        <v>84.2</v>
      </c>
      <c r="V185" t="b">
        <v>1</v>
      </c>
      <c r="W185" t="b">
        <v>1</v>
      </c>
      <c r="X185">
        <v>61.231884057971001</v>
      </c>
    </row>
    <row r="186" spans="3:24" x14ac:dyDescent="0.35">
      <c r="C186" s="2" t="s">
        <v>17</v>
      </c>
      <c r="D186" s="3">
        <v>43646</v>
      </c>
      <c r="E186">
        <v>49.673438154838102</v>
      </c>
      <c r="F186">
        <v>74.113918446074607</v>
      </c>
      <c r="G186">
        <v>70.295686817945594</v>
      </c>
      <c r="H186">
        <v>64.909386720194505</v>
      </c>
      <c r="I186">
        <v>32331</v>
      </c>
      <c r="J186">
        <v>62.5</v>
      </c>
      <c r="K186">
        <v>8</v>
      </c>
      <c r="L186" t="b">
        <v>1</v>
      </c>
      <c r="M186" s="2" t="s">
        <v>100</v>
      </c>
      <c r="N186" s="2" t="s">
        <v>100</v>
      </c>
      <c r="O186" t="b">
        <v>1</v>
      </c>
      <c r="P186">
        <v>244550.39999999999</v>
      </c>
      <c r="Q186">
        <v>80.269779293880703</v>
      </c>
      <c r="R186" t="b">
        <v>0</v>
      </c>
      <c r="S186">
        <v>49.082568807339399</v>
      </c>
      <c r="T186" s="2" t="s">
        <v>100</v>
      </c>
      <c r="U186">
        <v>84.5</v>
      </c>
      <c r="V186" t="b">
        <v>1</v>
      </c>
      <c r="W186" t="b">
        <v>1</v>
      </c>
      <c r="X186">
        <v>57.438016528925601</v>
      </c>
    </row>
    <row r="187" spans="3:24" x14ac:dyDescent="0.35">
      <c r="C187" s="2" t="s">
        <v>17</v>
      </c>
      <c r="D187" s="3">
        <v>43281</v>
      </c>
      <c r="E187">
        <v>44.335847159376499</v>
      </c>
      <c r="F187">
        <v>67.735766569375002</v>
      </c>
      <c r="G187">
        <v>81.053276713306104</v>
      </c>
      <c r="H187">
        <v>63.312735942892203</v>
      </c>
      <c r="I187">
        <v>34293</v>
      </c>
      <c r="J187">
        <v>66.6666666666666</v>
      </c>
      <c r="K187">
        <v>9</v>
      </c>
      <c r="L187" t="b">
        <v>0</v>
      </c>
      <c r="M187" s="2" t="s">
        <v>100</v>
      </c>
      <c r="N187" s="2" t="s">
        <v>100</v>
      </c>
      <c r="O187" t="b">
        <v>1</v>
      </c>
      <c r="P187">
        <v>202560</v>
      </c>
      <c r="Q187">
        <v>82.220517481419506</v>
      </c>
      <c r="R187" t="b">
        <v>0</v>
      </c>
      <c r="S187">
        <v>51.010101010101003</v>
      </c>
      <c r="T187" s="2" t="s">
        <v>100</v>
      </c>
      <c r="U187">
        <v>79</v>
      </c>
      <c r="V187" t="b">
        <v>1</v>
      </c>
      <c r="W187" t="b">
        <v>1</v>
      </c>
      <c r="X187">
        <v>58.256880733944897</v>
      </c>
    </row>
    <row r="188" spans="3:24" x14ac:dyDescent="0.35">
      <c r="C188" s="2" t="s">
        <v>17</v>
      </c>
      <c r="D188" s="3">
        <v>42916</v>
      </c>
      <c r="E188">
        <v>46.082641279362498</v>
      </c>
      <c r="F188">
        <v>63.424518743667598</v>
      </c>
      <c r="G188">
        <v>79.817146176789393</v>
      </c>
      <c r="H188">
        <v>61.833532553027503</v>
      </c>
      <c r="I188">
        <v>38656</v>
      </c>
      <c r="J188">
        <v>60</v>
      </c>
      <c r="K188">
        <v>8</v>
      </c>
      <c r="L188" t="b">
        <v>0</v>
      </c>
      <c r="M188" s="2" t="s">
        <v>100</v>
      </c>
      <c r="N188" s="2" t="s">
        <v>100</v>
      </c>
      <c r="O188" t="b">
        <v>1</v>
      </c>
      <c r="P188">
        <v>223704</v>
      </c>
      <c r="Q188">
        <v>85.960763534790999</v>
      </c>
      <c r="R188" s="2" t="s">
        <v>100</v>
      </c>
      <c r="S188">
        <v>54.1666666666666</v>
      </c>
      <c r="T188" s="2" t="s">
        <v>100</v>
      </c>
      <c r="U188">
        <v>78</v>
      </c>
      <c r="V188" t="b">
        <v>1</v>
      </c>
      <c r="W188" t="b">
        <v>1</v>
      </c>
      <c r="X188">
        <v>61.224489795918302</v>
      </c>
    </row>
    <row r="189" spans="3:24" x14ac:dyDescent="0.35">
      <c r="C189" s="2" t="s">
        <v>17</v>
      </c>
      <c r="D189" s="3">
        <v>42551</v>
      </c>
      <c r="E189">
        <v>49.418720618113298</v>
      </c>
      <c r="F189">
        <v>58.8331372598361</v>
      </c>
      <c r="G189">
        <v>58.278826516531403</v>
      </c>
      <c r="H189">
        <v>55.524589231160803</v>
      </c>
      <c r="I189">
        <v>36179</v>
      </c>
      <c r="J189">
        <v>50</v>
      </c>
      <c r="K189">
        <v>8</v>
      </c>
      <c r="L189" t="b">
        <v>0</v>
      </c>
      <c r="M189">
        <v>126473</v>
      </c>
      <c r="N189" s="2" t="s">
        <v>100</v>
      </c>
      <c r="O189" t="b">
        <v>1</v>
      </c>
      <c r="P189">
        <v>186382.4</v>
      </c>
      <c r="Q189">
        <v>86.761782529177495</v>
      </c>
      <c r="R189" s="2" t="s">
        <v>100</v>
      </c>
      <c r="S189">
        <v>49.375</v>
      </c>
      <c r="T189">
        <v>1.925</v>
      </c>
      <c r="U189">
        <v>77</v>
      </c>
      <c r="V189" t="b">
        <v>1</v>
      </c>
      <c r="W189" t="b">
        <v>1</v>
      </c>
      <c r="X189">
        <v>60.752688172043001</v>
      </c>
    </row>
    <row r="190" spans="3:24" x14ac:dyDescent="0.35">
      <c r="C190" s="2" t="s">
        <v>17</v>
      </c>
      <c r="D190" s="3">
        <v>45838</v>
      </c>
      <c r="E190" s="2" t="s">
        <v>100</v>
      </c>
      <c r="F190" s="2" t="s">
        <v>100</v>
      </c>
      <c r="G190" s="2" t="s">
        <v>100</v>
      </c>
      <c r="H190" s="2" t="s">
        <v>100</v>
      </c>
      <c r="I190" s="2" t="s">
        <v>100</v>
      </c>
      <c r="J190" s="2" t="s">
        <v>100</v>
      </c>
      <c r="K190" s="2" t="s">
        <v>100</v>
      </c>
      <c r="L190" s="2" t="s">
        <v>100</v>
      </c>
      <c r="M190" s="2" t="s">
        <v>100</v>
      </c>
      <c r="N190" s="2" t="s">
        <v>100</v>
      </c>
      <c r="O190" s="2" t="s">
        <v>100</v>
      </c>
      <c r="P190" s="2" t="s">
        <v>100</v>
      </c>
      <c r="Q190" s="2" t="s">
        <v>100</v>
      </c>
      <c r="R190" s="2" t="s">
        <v>100</v>
      </c>
      <c r="S190" s="2" t="s">
        <v>100</v>
      </c>
      <c r="T190" s="2" t="s">
        <v>100</v>
      </c>
      <c r="U190" s="2" t="s">
        <v>100</v>
      </c>
      <c r="V190" s="2" t="s">
        <v>100</v>
      </c>
      <c r="W190" s="2" t="s">
        <v>100</v>
      </c>
      <c r="X190" s="2" t="s">
        <v>100</v>
      </c>
    </row>
    <row r="191" spans="3:24" x14ac:dyDescent="0.35">
      <c r="C191" s="2" t="s">
        <v>18</v>
      </c>
      <c r="D191" s="3">
        <v>45747</v>
      </c>
      <c r="E191">
        <v>71.622435995139</v>
      </c>
      <c r="F191">
        <v>82.270564050291696</v>
      </c>
      <c r="G191">
        <v>73.068880969785496</v>
      </c>
      <c r="H191">
        <v>75.444688856725193</v>
      </c>
      <c r="I191">
        <v>5697874</v>
      </c>
      <c r="J191">
        <v>69.230769230769198</v>
      </c>
      <c r="K191">
        <v>13</v>
      </c>
      <c r="L191" t="b">
        <v>1</v>
      </c>
      <c r="M191">
        <v>7642</v>
      </c>
      <c r="N191" s="2" t="s">
        <v>100</v>
      </c>
      <c r="O191" t="b">
        <v>1</v>
      </c>
      <c r="P191">
        <v>409200</v>
      </c>
      <c r="Q191">
        <v>69.909916611739803</v>
      </c>
      <c r="R191" t="b">
        <v>0</v>
      </c>
      <c r="S191">
        <v>48.214285714285701</v>
      </c>
      <c r="T191" s="2" t="s">
        <v>100</v>
      </c>
      <c r="U191">
        <v>86</v>
      </c>
      <c r="V191" t="b">
        <v>1</v>
      </c>
      <c r="W191" t="b">
        <v>1</v>
      </c>
      <c r="X191">
        <v>53.6082474226804</v>
      </c>
    </row>
    <row r="192" spans="3:24" x14ac:dyDescent="0.35">
      <c r="C192" s="2" t="s">
        <v>18</v>
      </c>
      <c r="D192" s="3">
        <v>45382</v>
      </c>
      <c r="E192">
        <v>71.972269501109807</v>
      </c>
      <c r="F192">
        <v>81.6859022161821</v>
      </c>
      <c r="G192">
        <v>59.864006163025699</v>
      </c>
      <c r="H192">
        <v>72.102134298987295</v>
      </c>
      <c r="I192">
        <v>4807913</v>
      </c>
      <c r="J192">
        <v>64.285714285714207</v>
      </c>
      <c r="K192">
        <v>12</v>
      </c>
      <c r="L192" t="b">
        <v>1</v>
      </c>
      <c r="M192">
        <v>6117</v>
      </c>
      <c r="N192" s="2" t="s">
        <v>100</v>
      </c>
      <c r="O192" t="b">
        <v>1</v>
      </c>
      <c r="P192">
        <v>293100.09999999998</v>
      </c>
      <c r="Q192">
        <v>70.2374273937494</v>
      </c>
      <c r="R192" t="b">
        <v>0</v>
      </c>
      <c r="S192">
        <v>47.132616487455202</v>
      </c>
      <c r="T192">
        <v>2</v>
      </c>
      <c r="U192">
        <v>85</v>
      </c>
      <c r="V192" t="b">
        <v>1</v>
      </c>
      <c r="W192" t="b">
        <v>1</v>
      </c>
      <c r="X192">
        <v>54.391891891891902</v>
      </c>
    </row>
    <row r="193" spans="3:24" x14ac:dyDescent="0.35">
      <c r="C193" s="2" t="s">
        <v>18</v>
      </c>
      <c r="D193" s="3">
        <v>45016</v>
      </c>
      <c r="E193">
        <v>78.037336524208101</v>
      </c>
      <c r="F193">
        <v>83.791295789939198</v>
      </c>
      <c r="G193">
        <v>61.463610232566502</v>
      </c>
      <c r="H193">
        <v>75.763941712660298</v>
      </c>
      <c r="I193">
        <v>6520000</v>
      </c>
      <c r="J193">
        <v>69.230769230769198</v>
      </c>
      <c r="K193">
        <v>13</v>
      </c>
      <c r="L193" t="b">
        <v>1</v>
      </c>
      <c r="M193">
        <v>5713</v>
      </c>
      <c r="N193" s="2" t="s">
        <v>100</v>
      </c>
      <c r="O193" t="b">
        <v>1</v>
      </c>
      <c r="P193">
        <v>241164</v>
      </c>
      <c r="Q193">
        <v>71.154811864450707</v>
      </c>
      <c r="R193" t="b">
        <v>0</v>
      </c>
      <c r="S193">
        <v>48.901098901098898</v>
      </c>
      <c r="T193">
        <v>1.1000000000000001</v>
      </c>
      <c r="U193">
        <v>84</v>
      </c>
      <c r="V193" t="b">
        <v>1</v>
      </c>
      <c r="W193" t="b">
        <v>1</v>
      </c>
      <c r="X193">
        <v>55.9931506849315</v>
      </c>
    </row>
    <row r="194" spans="3:24" x14ac:dyDescent="0.35">
      <c r="C194" s="2" t="s">
        <v>18</v>
      </c>
      <c r="D194" s="3">
        <v>44651</v>
      </c>
      <c r="E194">
        <v>78.827900943988595</v>
      </c>
      <c r="F194">
        <v>85.849251449843905</v>
      </c>
      <c r="G194">
        <v>54.1703265765765</v>
      </c>
      <c r="H194">
        <v>74.945446266538497</v>
      </c>
      <c r="I194">
        <v>6240000</v>
      </c>
      <c r="J194">
        <v>61.538461538461497</v>
      </c>
      <c r="K194">
        <v>12</v>
      </c>
      <c r="L194" t="b">
        <v>1</v>
      </c>
      <c r="M194">
        <v>5286.5</v>
      </c>
      <c r="N194" s="2" t="s">
        <v>100</v>
      </c>
      <c r="O194" t="b">
        <v>1</v>
      </c>
      <c r="P194">
        <v>222607.8</v>
      </c>
      <c r="Q194">
        <v>73.521960578472303</v>
      </c>
      <c r="R194" t="b">
        <v>0</v>
      </c>
      <c r="S194">
        <v>57.722007722007703</v>
      </c>
      <c r="T194">
        <v>0.8</v>
      </c>
      <c r="U194">
        <v>82</v>
      </c>
      <c r="V194" t="b">
        <v>1</v>
      </c>
      <c r="W194" t="b">
        <v>1</v>
      </c>
      <c r="X194">
        <v>57.801418439716301</v>
      </c>
    </row>
    <row r="195" spans="3:24" x14ac:dyDescent="0.35">
      <c r="C195" s="2" t="s">
        <v>18</v>
      </c>
      <c r="D195" s="3">
        <v>44286</v>
      </c>
      <c r="E195">
        <v>80.003557410205303</v>
      </c>
      <c r="F195">
        <v>89.4081679007801</v>
      </c>
      <c r="G195">
        <v>57.375012305398798</v>
      </c>
      <c r="H195">
        <v>77.402919543440504</v>
      </c>
      <c r="I195">
        <v>7640000</v>
      </c>
      <c r="J195">
        <v>50</v>
      </c>
      <c r="K195">
        <v>11</v>
      </c>
      <c r="L195" t="b">
        <v>1</v>
      </c>
      <c r="M195">
        <v>2321.1999999999998</v>
      </c>
      <c r="N195" s="2" t="s">
        <v>100</v>
      </c>
      <c r="O195" t="b">
        <v>1</v>
      </c>
      <c r="P195">
        <v>112401</v>
      </c>
      <c r="Q195">
        <v>75.621147307915805</v>
      </c>
      <c r="R195" s="2" t="s">
        <v>100</v>
      </c>
      <c r="S195">
        <v>81.3901345291479</v>
      </c>
      <c r="T195">
        <v>0.9</v>
      </c>
      <c r="U195">
        <v>82</v>
      </c>
      <c r="V195" t="b">
        <v>1</v>
      </c>
      <c r="W195" t="b">
        <v>1</v>
      </c>
      <c r="X195">
        <v>59.803921568627402</v>
      </c>
    </row>
    <row r="196" spans="3:24" x14ac:dyDescent="0.35">
      <c r="C196" s="2" t="s">
        <v>18</v>
      </c>
      <c r="D196" s="3">
        <v>43921</v>
      </c>
      <c r="E196">
        <v>76.770375547140503</v>
      </c>
      <c r="F196">
        <v>72.776265376083799</v>
      </c>
      <c r="G196">
        <v>71.128612128612104</v>
      </c>
      <c r="H196">
        <v>74.061848886915001</v>
      </c>
      <c r="I196">
        <v>8920000</v>
      </c>
      <c r="J196">
        <v>60</v>
      </c>
      <c r="K196">
        <v>10</v>
      </c>
      <c r="L196" t="b">
        <v>1</v>
      </c>
      <c r="M196" s="2" t="s">
        <v>100</v>
      </c>
      <c r="N196" s="2" t="s">
        <v>100</v>
      </c>
      <c r="O196" t="b">
        <v>1</v>
      </c>
      <c r="P196">
        <v>448858.8</v>
      </c>
      <c r="Q196">
        <v>78.200069035947806</v>
      </c>
      <c r="R196" s="2" t="s">
        <v>100</v>
      </c>
      <c r="S196">
        <v>69.210526315789394</v>
      </c>
      <c r="T196">
        <v>0.9</v>
      </c>
      <c r="U196">
        <v>76</v>
      </c>
      <c r="V196" t="b">
        <v>1</v>
      </c>
      <c r="W196" t="b">
        <v>1</v>
      </c>
      <c r="X196">
        <v>62.5</v>
      </c>
    </row>
    <row r="197" spans="3:24" x14ac:dyDescent="0.35">
      <c r="C197" s="2" t="s">
        <v>18</v>
      </c>
      <c r="D197" s="3">
        <v>43555</v>
      </c>
      <c r="E197">
        <v>63.757717376233202</v>
      </c>
      <c r="F197">
        <v>68.159003631049799</v>
      </c>
      <c r="G197">
        <v>48.476759628153999</v>
      </c>
      <c r="H197">
        <v>61.367895972028798</v>
      </c>
      <c r="I197">
        <v>9530000</v>
      </c>
      <c r="J197">
        <v>66.6666666666666</v>
      </c>
      <c r="K197">
        <v>10</v>
      </c>
      <c r="L197" t="b">
        <v>1</v>
      </c>
      <c r="M197" s="2" t="s">
        <v>100</v>
      </c>
      <c r="N197" s="2" t="s">
        <v>100</v>
      </c>
      <c r="O197" t="b">
        <v>1</v>
      </c>
      <c r="P197">
        <v>448140</v>
      </c>
      <c r="Q197">
        <v>80.269779293880703</v>
      </c>
      <c r="R197" s="2" t="s">
        <v>100</v>
      </c>
      <c r="S197">
        <v>67.877094972066999</v>
      </c>
      <c r="T197">
        <v>0.8</v>
      </c>
      <c r="U197">
        <v>68</v>
      </c>
      <c r="V197" t="b">
        <v>1</v>
      </c>
      <c r="W197" t="b">
        <v>1</v>
      </c>
      <c r="X197">
        <v>61.538461538461497</v>
      </c>
    </row>
    <row r="198" spans="3:24" x14ac:dyDescent="0.35">
      <c r="C198" s="2" t="s">
        <v>18</v>
      </c>
      <c r="D198" s="3">
        <v>43190</v>
      </c>
      <c r="E198">
        <v>66.997193565372299</v>
      </c>
      <c r="F198">
        <v>60.491067636816602</v>
      </c>
      <c r="G198">
        <v>57.165393475035103</v>
      </c>
      <c r="H198">
        <v>62.424752616007403</v>
      </c>
      <c r="I198">
        <v>11070000</v>
      </c>
      <c r="J198">
        <v>60</v>
      </c>
      <c r="K198">
        <v>10</v>
      </c>
      <c r="L198" t="b">
        <v>1</v>
      </c>
      <c r="M198" s="2" t="s">
        <v>100</v>
      </c>
      <c r="N198" s="2" t="s">
        <v>100</v>
      </c>
      <c r="O198" t="b">
        <v>1</v>
      </c>
      <c r="P198">
        <v>457270</v>
      </c>
      <c r="Q198">
        <v>82.220517481419506</v>
      </c>
      <c r="R198" s="2" t="s">
        <v>100</v>
      </c>
      <c r="S198">
        <v>61.515151515151501</v>
      </c>
      <c r="T198">
        <v>1</v>
      </c>
      <c r="U198">
        <v>73</v>
      </c>
      <c r="V198" t="b">
        <v>1</v>
      </c>
      <c r="W198" t="b">
        <v>1</v>
      </c>
      <c r="X198">
        <v>61.842105263157897</v>
      </c>
    </row>
    <row r="199" spans="3:24" x14ac:dyDescent="0.35">
      <c r="C199" s="2" t="s">
        <v>18</v>
      </c>
      <c r="D199" s="3">
        <v>42825</v>
      </c>
      <c r="E199">
        <v>55.227743061866498</v>
      </c>
      <c r="F199">
        <v>66.302212270237007</v>
      </c>
      <c r="G199">
        <v>59.783045580028897</v>
      </c>
      <c r="H199">
        <v>59.965771184127497</v>
      </c>
      <c r="I199">
        <v>9120000</v>
      </c>
      <c r="J199">
        <v>66.6666666666666</v>
      </c>
      <c r="K199">
        <v>9</v>
      </c>
      <c r="L199" t="b">
        <v>0</v>
      </c>
      <c r="M199" s="2" t="s">
        <v>100</v>
      </c>
      <c r="N199" s="2" t="s">
        <v>100</v>
      </c>
      <c r="O199" t="b">
        <v>1</v>
      </c>
      <c r="P199">
        <v>444297</v>
      </c>
      <c r="Q199">
        <v>85.960763534790999</v>
      </c>
      <c r="R199" s="2" t="s">
        <v>100</v>
      </c>
      <c r="S199">
        <v>72.758620689655103</v>
      </c>
      <c r="T199">
        <v>1.1000000000000001</v>
      </c>
      <c r="U199" s="2" t="s">
        <v>100</v>
      </c>
      <c r="V199" t="b">
        <v>1</v>
      </c>
      <c r="W199" t="b">
        <v>1</v>
      </c>
      <c r="X199">
        <v>64.124293785310698</v>
      </c>
    </row>
    <row r="200" spans="3:24" x14ac:dyDescent="0.35">
      <c r="C200" s="2" t="s">
        <v>18</v>
      </c>
      <c r="D200" s="3">
        <v>42460</v>
      </c>
      <c r="E200">
        <v>59.1286533479227</v>
      </c>
      <c r="F200">
        <v>60.227347974837201</v>
      </c>
      <c r="G200">
        <v>83.745239278026105</v>
      </c>
      <c r="H200">
        <v>65.639875584195806</v>
      </c>
      <c r="I200">
        <v>12159000</v>
      </c>
      <c r="J200">
        <v>80</v>
      </c>
      <c r="K200">
        <v>9</v>
      </c>
      <c r="L200" t="b">
        <v>1</v>
      </c>
      <c r="M200" s="2" t="s">
        <v>100</v>
      </c>
      <c r="N200" s="2" t="s">
        <v>100</v>
      </c>
      <c r="O200" t="b">
        <v>1</v>
      </c>
      <c r="P200" s="2" t="s">
        <v>100</v>
      </c>
      <c r="Q200">
        <v>86.761782529177495</v>
      </c>
      <c r="R200" s="2" t="s">
        <v>100</v>
      </c>
      <c r="S200">
        <v>71.691176470588204</v>
      </c>
      <c r="T200">
        <v>1</v>
      </c>
      <c r="U200">
        <v>77</v>
      </c>
      <c r="V200" t="b">
        <v>1</v>
      </c>
      <c r="W200" t="b">
        <v>1</v>
      </c>
      <c r="X200">
        <v>64.5833333333333</v>
      </c>
    </row>
    <row r="201" spans="3:24" x14ac:dyDescent="0.35">
      <c r="C201" s="2" t="s">
        <v>19</v>
      </c>
      <c r="D201" s="3">
        <v>45657</v>
      </c>
      <c r="E201">
        <v>73.981773177317706</v>
      </c>
      <c r="F201">
        <v>72.356267890588697</v>
      </c>
      <c r="G201">
        <v>93.841826246889497</v>
      </c>
      <c r="H201">
        <v>78.871432044409104</v>
      </c>
      <c r="I201">
        <v>27301400</v>
      </c>
      <c r="J201">
        <v>66.6666666666666</v>
      </c>
      <c r="K201">
        <v>11</v>
      </c>
      <c r="L201" t="b">
        <v>1</v>
      </c>
      <c r="M201">
        <v>53735</v>
      </c>
      <c r="N201" s="2" t="s">
        <v>100</v>
      </c>
      <c r="O201" t="b">
        <v>1</v>
      </c>
      <c r="P201">
        <v>3646185</v>
      </c>
      <c r="Q201">
        <v>70.2374273937494</v>
      </c>
      <c r="R201" t="b">
        <v>0</v>
      </c>
      <c r="S201">
        <v>10.952380952380899</v>
      </c>
      <c r="T201">
        <v>20</v>
      </c>
      <c r="U201" s="2" t="s">
        <v>100</v>
      </c>
      <c r="V201" t="b">
        <v>1</v>
      </c>
      <c r="W201" t="b">
        <v>1</v>
      </c>
      <c r="X201">
        <v>50.943396226415103</v>
      </c>
    </row>
    <row r="202" spans="3:24" x14ac:dyDescent="0.35">
      <c r="C202" s="2" t="s">
        <v>19</v>
      </c>
      <c r="D202" s="3">
        <v>45291</v>
      </c>
      <c r="E202">
        <v>71.930736762996602</v>
      </c>
      <c r="F202">
        <v>56.534077782056201</v>
      </c>
      <c r="G202">
        <v>92.289815447710097</v>
      </c>
      <c r="H202">
        <v>71.284577405763699</v>
      </c>
      <c r="I202">
        <v>25954700</v>
      </c>
      <c r="J202">
        <v>72.727272727272705</v>
      </c>
      <c r="K202">
        <v>11</v>
      </c>
      <c r="L202" t="b">
        <v>1</v>
      </c>
      <c r="M202">
        <v>51806</v>
      </c>
      <c r="N202" s="2" t="s">
        <v>100</v>
      </c>
      <c r="O202" t="b">
        <v>1</v>
      </c>
      <c r="P202">
        <v>3219091</v>
      </c>
      <c r="Q202">
        <v>71.154811864450707</v>
      </c>
      <c r="R202" t="b">
        <v>0</v>
      </c>
      <c r="S202">
        <v>12.019230769230701</v>
      </c>
      <c r="T202">
        <v>18.5</v>
      </c>
      <c r="U202" s="2" t="s">
        <v>100</v>
      </c>
      <c r="V202" t="b">
        <v>1</v>
      </c>
      <c r="W202" t="b">
        <v>1</v>
      </c>
      <c r="X202">
        <v>51.428571428571402</v>
      </c>
    </row>
    <row r="203" spans="3:24" x14ac:dyDescent="0.35">
      <c r="C203" s="2" t="s">
        <v>19</v>
      </c>
      <c r="D203" s="3">
        <v>44926</v>
      </c>
      <c r="E203">
        <v>76.782703135271007</v>
      </c>
      <c r="F203">
        <v>59.100192173305402</v>
      </c>
      <c r="G203">
        <v>93.344409282700397</v>
      </c>
      <c r="H203">
        <v>74.131446061579595</v>
      </c>
      <c r="I203">
        <v>21206846</v>
      </c>
      <c r="J203">
        <v>75</v>
      </c>
      <c r="K203">
        <v>11</v>
      </c>
      <c r="L203" t="b">
        <v>1</v>
      </c>
      <c r="M203">
        <v>52106</v>
      </c>
      <c r="N203" s="2" t="s">
        <v>100</v>
      </c>
      <c r="O203" t="b">
        <v>1</v>
      </c>
      <c r="P203">
        <v>3520145.2</v>
      </c>
      <c r="Q203">
        <v>73.521960578472303</v>
      </c>
      <c r="R203" t="b">
        <v>0</v>
      </c>
      <c r="S203">
        <v>12.037037037037001</v>
      </c>
      <c r="T203">
        <v>15.05</v>
      </c>
      <c r="U203" s="2" t="s">
        <v>100</v>
      </c>
      <c r="V203" t="b">
        <v>1</v>
      </c>
      <c r="W203" t="b">
        <v>1</v>
      </c>
      <c r="X203">
        <v>53.571428571428498</v>
      </c>
    </row>
    <row r="204" spans="3:24" x14ac:dyDescent="0.35">
      <c r="C204" s="2" t="s">
        <v>19</v>
      </c>
      <c r="D204" s="3">
        <v>44561</v>
      </c>
      <c r="E204">
        <v>72.587928895982301</v>
      </c>
      <c r="F204">
        <v>56.885089850944901</v>
      </c>
      <c r="G204">
        <v>91.319917775613902</v>
      </c>
      <c r="H204">
        <v>71.360099426929096</v>
      </c>
      <c r="I204">
        <v>10959200</v>
      </c>
      <c r="J204">
        <v>69.230769230769198</v>
      </c>
      <c r="K204">
        <v>12</v>
      </c>
      <c r="L204" t="b">
        <v>1</v>
      </c>
      <c r="M204">
        <v>27600</v>
      </c>
      <c r="N204" s="2" t="s">
        <v>100</v>
      </c>
      <c r="O204" t="b">
        <v>1</v>
      </c>
      <c r="P204">
        <v>1677076.8</v>
      </c>
      <c r="Q204">
        <v>75.621147307915805</v>
      </c>
      <c r="R204" s="2" t="s">
        <v>100</v>
      </c>
      <c r="S204">
        <v>12.5</v>
      </c>
      <c r="T204">
        <v>10.95</v>
      </c>
      <c r="U204" s="2" t="s">
        <v>100</v>
      </c>
      <c r="V204" t="b">
        <v>1</v>
      </c>
      <c r="W204" t="b">
        <v>1</v>
      </c>
      <c r="X204">
        <v>54.245283018867902</v>
      </c>
    </row>
    <row r="205" spans="3:24" x14ac:dyDescent="0.35">
      <c r="C205" s="2" t="s">
        <v>19</v>
      </c>
      <c r="D205" s="3">
        <v>44196</v>
      </c>
      <c r="E205">
        <v>72.068511198945899</v>
      </c>
      <c r="F205">
        <v>66.315504723972197</v>
      </c>
      <c r="G205">
        <v>88.707129719787901</v>
      </c>
      <c r="H205">
        <v>74.355299096120902</v>
      </c>
      <c r="I205">
        <v>11068200</v>
      </c>
      <c r="J205">
        <v>60</v>
      </c>
      <c r="K205">
        <v>12</v>
      </c>
      <c r="L205" t="b">
        <v>1</v>
      </c>
      <c r="M205">
        <v>30600</v>
      </c>
      <c r="N205" s="2" t="s">
        <v>100</v>
      </c>
      <c r="O205" t="b">
        <v>1</v>
      </c>
      <c r="P205">
        <v>1529300</v>
      </c>
      <c r="Q205">
        <v>78.200069035947806</v>
      </c>
      <c r="R205" s="2" t="s">
        <v>100</v>
      </c>
      <c r="S205">
        <v>13.157894736842101</v>
      </c>
      <c r="T205">
        <v>12.05</v>
      </c>
      <c r="U205" s="2" t="s">
        <v>100</v>
      </c>
      <c r="V205" t="b">
        <v>1</v>
      </c>
      <c r="W205" t="b">
        <v>1</v>
      </c>
      <c r="X205">
        <v>56.435643564356397</v>
      </c>
    </row>
    <row r="206" spans="3:24" x14ac:dyDescent="0.35">
      <c r="C206" s="2" t="s">
        <v>19</v>
      </c>
      <c r="D206" s="3">
        <v>43830</v>
      </c>
      <c r="E206">
        <v>71.745015130788005</v>
      </c>
      <c r="F206">
        <v>63.231502294579002</v>
      </c>
      <c r="G206">
        <v>84.655701754385902</v>
      </c>
      <c r="H206">
        <v>71.850524758551998</v>
      </c>
      <c r="I206">
        <v>30814600</v>
      </c>
      <c r="J206">
        <v>73.3333333333333</v>
      </c>
      <c r="K206">
        <v>12</v>
      </c>
      <c r="L206" t="b">
        <v>1</v>
      </c>
      <c r="M206">
        <v>60200</v>
      </c>
      <c r="N206" s="2" t="s">
        <v>100</v>
      </c>
      <c r="O206" t="b">
        <v>1</v>
      </c>
      <c r="P206">
        <v>3497771.2</v>
      </c>
      <c r="Q206">
        <v>80.269779293880703</v>
      </c>
      <c r="R206" s="2" t="s">
        <v>100</v>
      </c>
      <c r="S206">
        <v>14.044943820224701</v>
      </c>
      <c r="T206">
        <v>21.704999999999998</v>
      </c>
      <c r="U206" s="2" t="s">
        <v>100</v>
      </c>
      <c r="V206" t="b">
        <v>1</v>
      </c>
      <c r="W206" t="b">
        <v>1</v>
      </c>
      <c r="X206">
        <v>57.2916666666666</v>
      </c>
    </row>
    <row r="207" spans="3:24" x14ac:dyDescent="0.35">
      <c r="C207" s="2" t="s">
        <v>19</v>
      </c>
      <c r="D207" s="3">
        <v>43465</v>
      </c>
      <c r="E207">
        <v>63.567887109076999</v>
      </c>
      <c r="F207">
        <v>71.839315740784599</v>
      </c>
      <c r="G207">
        <v>89.044834307992204</v>
      </c>
      <c r="H207">
        <v>74.108756600845695</v>
      </c>
      <c r="I207">
        <v>30060400</v>
      </c>
      <c r="J207">
        <v>78.571428571428498</v>
      </c>
      <c r="K207">
        <v>12</v>
      </c>
      <c r="L207" t="b">
        <v>1</v>
      </c>
      <c r="M207">
        <v>156958.79999999999</v>
      </c>
      <c r="N207" s="2" t="s">
        <v>100</v>
      </c>
      <c r="O207" t="b">
        <v>1</v>
      </c>
      <c r="P207">
        <v>2660567.4</v>
      </c>
      <c r="Q207">
        <v>82.220517481419506</v>
      </c>
      <c r="R207" s="2" t="s">
        <v>100</v>
      </c>
      <c r="S207">
        <v>51.265822784810098</v>
      </c>
      <c r="T207">
        <v>21.004999999999999</v>
      </c>
      <c r="U207" s="2" t="s">
        <v>100</v>
      </c>
      <c r="V207" t="b">
        <v>1</v>
      </c>
      <c r="W207" t="b">
        <v>1</v>
      </c>
      <c r="X207">
        <v>59.550561797752799</v>
      </c>
    </row>
    <row r="208" spans="3:24" x14ac:dyDescent="0.35">
      <c r="C208" s="2" t="s">
        <v>19</v>
      </c>
      <c r="D208" s="3">
        <v>43100</v>
      </c>
      <c r="E208">
        <v>77.954965791073306</v>
      </c>
      <c r="F208">
        <v>60.777129050057802</v>
      </c>
      <c r="G208">
        <v>90.084213172448401</v>
      </c>
      <c r="H208">
        <v>74.270887707525006</v>
      </c>
      <c r="I208">
        <v>28866390</v>
      </c>
      <c r="J208">
        <v>75</v>
      </c>
      <c r="K208">
        <v>12</v>
      </c>
      <c r="L208" t="b">
        <v>1</v>
      </c>
      <c r="M208">
        <v>120553.35</v>
      </c>
      <c r="N208" s="2" t="s">
        <v>100</v>
      </c>
      <c r="O208" t="b">
        <v>1</v>
      </c>
      <c r="P208">
        <v>2904727.6</v>
      </c>
      <c r="Q208">
        <v>85.960763534790999</v>
      </c>
      <c r="R208" s="2" t="s">
        <v>100</v>
      </c>
      <c r="S208">
        <v>51.369863013698598</v>
      </c>
      <c r="T208" s="2" t="s">
        <v>100</v>
      </c>
      <c r="U208" s="2" t="s">
        <v>100</v>
      </c>
      <c r="V208" t="b">
        <v>1</v>
      </c>
      <c r="W208" t="b">
        <v>1</v>
      </c>
      <c r="X208">
        <v>60.365853658536501</v>
      </c>
    </row>
    <row r="209" spans="3:24" x14ac:dyDescent="0.35">
      <c r="C209" s="2" t="s">
        <v>19</v>
      </c>
      <c r="D209" s="3">
        <v>42735</v>
      </c>
      <c r="E209">
        <v>75.035027696317997</v>
      </c>
      <c r="F209">
        <v>68.995544742915499</v>
      </c>
      <c r="G209">
        <v>62.485648838107799</v>
      </c>
      <c r="H209">
        <v>69.032926332197505</v>
      </c>
      <c r="I209">
        <v>28367567</v>
      </c>
      <c r="J209">
        <v>80</v>
      </c>
      <c r="K209">
        <v>12</v>
      </c>
      <c r="L209" t="b">
        <v>1</v>
      </c>
      <c r="M209">
        <v>182371.75</v>
      </c>
      <c r="N209" s="2" t="s">
        <v>100</v>
      </c>
      <c r="O209" t="b">
        <v>1</v>
      </c>
      <c r="P209">
        <v>2326302.9</v>
      </c>
      <c r="Q209">
        <v>86.761782529177495</v>
      </c>
      <c r="R209" s="2" t="s">
        <v>100</v>
      </c>
      <c r="S209">
        <v>49.180327868852402</v>
      </c>
      <c r="T209" s="2" t="s">
        <v>100</v>
      </c>
      <c r="U209" s="2" t="s">
        <v>100</v>
      </c>
      <c r="V209" t="b">
        <v>1</v>
      </c>
      <c r="W209" t="b">
        <v>1</v>
      </c>
      <c r="X209">
        <v>61.1111111111111</v>
      </c>
    </row>
    <row r="210" spans="3:24" x14ac:dyDescent="0.35">
      <c r="C210" s="2" t="s">
        <v>19</v>
      </c>
      <c r="D210" s="3">
        <v>42369</v>
      </c>
      <c r="E210">
        <v>72.554952036084103</v>
      </c>
      <c r="F210">
        <v>72.419686183451205</v>
      </c>
      <c r="G210">
        <v>70.324626848261701</v>
      </c>
      <c r="H210">
        <v>71.874852526355099</v>
      </c>
      <c r="I210">
        <v>26452796</v>
      </c>
      <c r="J210">
        <v>83.3333333333333</v>
      </c>
      <c r="K210">
        <v>12</v>
      </c>
      <c r="L210" t="b">
        <v>1</v>
      </c>
      <c r="M210">
        <v>10546</v>
      </c>
      <c r="N210" s="2" t="s">
        <v>100</v>
      </c>
      <c r="O210" t="b">
        <v>1</v>
      </c>
      <c r="P210">
        <v>2198201.2000000002</v>
      </c>
      <c r="Q210">
        <v>87.208323109393802</v>
      </c>
      <c r="R210" s="2" t="s">
        <v>100</v>
      </c>
      <c r="S210">
        <v>53.389830508474503</v>
      </c>
      <c r="T210" s="2" t="s">
        <v>100</v>
      </c>
      <c r="U210" s="2" t="s">
        <v>100</v>
      </c>
      <c r="V210" t="b">
        <v>1</v>
      </c>
      <c r="W210" t="b">
        <v>1</v>
      </c>
      <c r="X210">
        <v>63.768115942028899</v>
      </c>
    </row>
    <row r="211" spans="3:24" x14ac:dyDescent="0.35">
      <c r="C211" s="2" t="s">
        <v>20</v>
      </c>
      <c r="D211" s="3">
        <v>46022</v>
      </c>
      <c r="E211">
        <v>89.531738019141599</v>
      </c>
      <c r="F211">
        <v>75.061432068993597</v>
      </c>
      <c r="G211">
        <v>82.573175560428794</v>
      </c>
      <c r="H211">
        <v>79.849383782731607</v>
      </c>
      <c r="I211">
        <v>47540</v>
      </c>
      <c r="J211">
        <v>84.615384615384599</v>
      </c>
      <c r="K211">
        <v>11</v>
      </c>
      <c r="L211" t="b">
        <v>1</v>
      </c>
      <c r="M211">
        <v>5015</v>
      </c>
      <c r="N211" s="2" t="s">
        <v>100</v>
      </c>
      <c r="O211" t="b">
        <v>1</v>
      </c>
      <c r="P211">
        <v>1346380</v>
      </c>
      <c r="Q211">
        <v>69.909916611739803</v>
      </c>
      <c r="R211" t="b">
        <v>0</v>
      </c>
      <c r="S211">
        <v>70.472837022132794</v>
      </c>
      <c r="T211">
        <v>8.5150000000000003E-2</v>
      </c>
      <c r="U211" s="2" t="s">
        <v>100</v>
      </c>
      <c r="V211" t="b">
        <v>1</v>
      </c>
      <c r="W211" t="b">
        <v>1</v>
      </c>
      <c r="X211">
        <v>50.7944389275074</v>
      </c>
    </row>
    <row r="212" spans="3:24" x14ac:dyDescent="0.35">
      <c r="C212" s="2" t="s">
        <v>20</v>
      </c>
      <c r="D212" s="3">
        <v>45657</v>
      </c>
      <c r="E212">
        <v>89.654206565767097</v>
      </c>
      <c r="F212">
        <v>79.4550091815927</v>
      </c>
      <c r="G212">
        <v>80.800220154795298</v>
      </c>
      <c r="H212">
        <v>81.407969555266703</v>
      </c>
      <c r="I212">
        <v>56286</v>
      </c>
      <c r="J212">
        <v>83.3333333333333</v>
      </c>
      <c r="K212">
        <v>11</v>
      </c>
      <c r="L212" t="b">
        <v>1</v>
      </c>
      <c r="M212">
        <v>4955</v>
      </c>
      <c r="N212" s="2" t="s">
        <v>100</v>
      </c>
      <c r="O212" t="b">
        <v>1</v>
      </c>
      <c r="P212">
        <v>1290117</v>
      </c>
      <c r="Q212">
        <v>70.2374273937494</v>
      </c>
      <c r="R212" t="b">
        <v>0</v>
      </c>
      <c r="S212">
        <v>71.099999999999994</v>
      </c>
      <c r="T212">
        <v>0.10131</v>
      </c>
      <c r="U212" s="2" t="s">
        <v>100</v>
      </c>
      <c r="V212" t="b">
        <v>1</v>
      </c>
      <c r="W212" t="b">
        <v>1</v>
      </c>
      <c r="X212">
        <v>51.080550098231797</v>
      </c>
    </row>
    <row r="213" spans="3:24" x14ac:dyDescent="0.35">
      <c r="C213" s="2" t="s">
        <v>20</v>
      </c>
      <c r="D213" s="3">
        <v>45291</v>
      </c>
      <c r="E213">
        <v>92.324390384437095</v>
      </c>
      <c r="F213">
        <v>80.940529783914002</v>
      </c>
      <c r="G213">
        <v>83.2407031961001</v>
      </c>
      <c r="H213">
        <v>83.407868138776294</v>
      </c>
      <c r="I213">
        <v>64751</v>
      </c>
      <c r="J213">
        <v>76.923076923076906</v>
      </c>
      <c r="K213">
        <v>10</v>
      </c>
      <c r="L213" t="b">
        <v>1</v>
      </c>
      <c r="M213">
        <v>7230</v>
      </c>
      <c r="N213" s="2" t="s">
        <v>100</v>
      </c>
      <c r="O213" t="b">
        <v>1</v>
      </c>
      <c r="P213">
        <v>1377376</v>
      </c>
      <c r="Q213">
        <v>71.154811864450707</v>
      </c>
      <c r="R213" t="b">
        <v>0</v>
      </c>
      <c r="S213">
        <v>71.884654994850607</v>
      </c>
      <c r="T213">
        <v>5.7140000000000003E-2</v>
      </c>
      <c r="U213" s="2" t="s">
        <v>100</v>
      </c>
      <c r="V213" t="b">
        <v>1</v>
      </c>
      <c r="W213" t="b">
        <v>1</v>
      </c>
      <c r="X213">
        <v>51.998001998002003</v>
      </c>
    </row>
    <row r="214" spans="3:24" x14ac:dyDescent="0.35">
      <c r="C214" s="2" t="s">
        <v>20</v>
      </c>
      <c r="D214" s="3">
        <v>44926</v>
      </c>
      <c r="E214">
        <v>59.281849999032602</v>
      </c>
      <c r="F214">
        <v>81.627792599673398</v>
      </c>
      <c r="G214">
        <v>85.351507757757702</v>
      </c>
      <c r="H214">
        <v>79.750514322091504</v>
      </c>
      <c r="I214">
        <v>76394</v>
      </c>
      <c r="J214">
        <v>83.3333333333333</v>
      </c>
      <c r="K214">
        <v>11</v>
      </c>
      <c r="L214" t="b">
        <v>1</v>
      </c>
      <c r="M214">
        <v>12386</v>
      </c>
      <c r="N214" s="2" t="s">
        <v>100</v>
      </c>
      <c r="O214" t="b">
        <v>1</v>
      </c>
      <c r="P214">
        <v>1052396</v>
      </c>
      <c r="Q214">
        <v>73.521960578472303</v>
      </c>
      <c r="R214" t="b">
        <v>0</v>
      </c>
      <c r="S214">
        <v>73.144329896907195</v>
      </c>
      <c r="T214">
        <v>9.7000000000000003E-2</v>
      </c>
      <c r="U214" s="2" t="s">
        <v>100</v>
      </c>
      <c r="V214" t="b">
        <v>1</v>
      </c>
      <c r="W214" t="b">
        <v>1</v>
      </c>
      <c r="X214">
        <v>52.667984189723299</v>
      </c>
    </row>
    <row r="215" spans="3:24" x14ac:dyDescent="0.35">
      <c r="C215" s="2" t="s">
        <v>20</v>
      </c>
      <c r="D215" s="3">
        <v>44561</v>
      </c>
      <c r="E215">
        <v>63.264454974924099</v>
      </c>
      <c r="F215">
        <v>86.2015883612724</v>
      </c>
      <c r="G215">
        <v>75.950679961185202</v>
      </c>
      <c r="H215">
        <v>79.208314129606904</v>
      </c>
      <c r="I215">
        <v>94992</v>
      </c>
      <c r="J215">
        <v>72.727272727272705</v>
      </c>
      <c r="K215">
        <v>11</v>
      </c>
      <c r="L215" t="b">
        <v>1</v>
      </c>
      <c r="M215">
        <v>9890.67922</v>
      </c>
      <c r="N215" s="2" t="s">
        <v>100</v>
      </c>
      <c r="O215" t="b">
        <v>1</v>
      </c>
      <c r="P215">
        <v>861705</v>
      </c>
      <c r="Q215">
        <v>75.621147307915805</v>
      </c>
      <c r="R215" t="b">
        <v>0</v>
      </c>
      <c r="S215">
        <v>74.103139013452903</v>
      </c>
      <c r="T215">
        <v>9.3640000000000001E-2</v>
      </c>
      <c r="U215" s="2" t="s">
        <v>100</v>
      </c>
      <c r="V215" t="b">
        <v>1</v>
      </c>
      <c r="W215" t="b">
        <v>1</v>
      </c>
      <c r="X215">
        <v>53.922594142259399</v>
      </c>
    </row>
    <row r="216" spans="3:24" x14ac:dyDescent="0.35">
      <c r="C216" s="2" t="s">
        <v>20</v>
      </c>
      <c r="D216" s="3">
        <v>44196</v>
      </c>
      <c r="E216">
        <v>61.500142533284802</v>
      </c>
      <c r="F216">
        <v>90.500121222584795</v>
      </c>
      <c r="G216">
        <v>81.096866096866094</v>
      </c>
      <c r="H216">
        <v>82.938952446066907</v>
      </c>
      <c r="I216">
        <v>110503</v>
      </c>
      <c r="J216">
        <v>84.615384615384599</v>
      </c>
      <c r="K216">
        <v>11</v>
      </c>
      <c r="L216" t="b">
        <v>1</v>
      </c>
      <c r="M216">
        <v>9693.0626900000007</v>
      </c>
      <c r="N216" s="2" t="s">
        <v>100</v>
      </c>
      <c r="O216" t="b">
        <v>1</v>
      </c>
      <c r="P216" s="2" t="s">
        <v>100</v>
      </c>
      <c r="Q216">
        <v>78.200069035947806</v>
      </c>
      <c r="R216" t="b">
        <v>0</v>
      </c>
      <c r="S216">
        <v>74.352331606217604</v>
      </c>
      <c r="T216">
        <v>0.11701</v>
      </c>
      <c r="U216">
        <v>90</v>
      </c>
      <c r="V216" t="b">
        <v>1</v>
      </c>
      <c r="W216" t="b">
        <v>1</v>
      </c>
      <c r="X216">
        <v>55.594405594405501</v>
      </c>
    </row>
    <row r="217" spans="3:24" x14ac:dyDescent="0.35">
      <c r="C217" s="2" t="s">
        <v>20</v>
      </c>
      <c r="D217" s="3">
        <v>43830</v>
      </c>
      <c r="E217">
        <v>83.200097479904699</v>
      </c>
      <c r="F217">
        <v>90.169643377762597</v>
      </c>
      <c r="G217">
        <v>73.549800796812704</v>
      </c>
      <c r="H217">
        <v>80.393521895463607</v>
      </c>
      <c r="I217">
        <v>139749</v>
      </c>
      <c r="J217">
        <v>73.3333333333333</v>
      </c>
      <c r="K217">
        <v>13</v>
      </c>
      <c r="L217" t="b">
        <v>1</v>
      </c>
      <c r="M217">
        <v>12382.94241</v>
      </c>
      <c r="N217" s="2" t="s">
        <v>100</v>
      </c>
      <c r="O217" t="b">
        <v>1</v>
      </c>
      <c r="P217" s="2" t="s">
        <v>100</v>
      </c>
      <c r="Q217">
        <v>80.269779293880703</v>
      </c>
      <c r="R217" t="b">
        <v>0</v>
      </c>
      <c r="S217">
        <v>76.370757180156602</v>
      </c>
      <c r="T217">
        <v>0.23293</v>
      </c>
      <c r="U217">
        <v>87</v>
      </c>
      <c r="V217" t="b">
        <v>1</v>
      </c>
      <c r="W217" t="b">
        <v>1</v>
      </c>
      <c r="X217">
        <v>54.151404151404101</v>
      </c>
    </row>
    <row r="218" spans="3:24" x14ac:dyDescent="0.35">
      <c r="C218" s="2" t="s">
        <v>20</v>
      </c>
      <c r="D218" s="3">
        <v>43465</v>
      </c>
      <c r="E218">
        <v>85.351969619182896</v>
      </c>
      <c r="F218">
        <v>90.115409790094205</v>
      </c>
      <c r="G218">
        <v>77.134882414775802</v>
      </c>
      <c r="H218">
        <v>81.795332001886607</v>
      </c>
      <c r="I218">
        <v>196138</v>
      </c>
      <c r="J218">
        <v>87.5</v>
      </c>
      <c r="K218">
        <v>13</v>
      </c>
      <c r="L218" t="b">
        <v>1</v>
      </c>
      <c r="M218">
        <v>13955</v>
      </c>
      <c r="N218" s="2" t="s">
        <v>100</v>
      </c>
      <c r="O218" t="b">
        <v>1</v>
      </c>
      <c r="P218" s="2" t="s">
        <v>100</v>
      </c>
      <c r="Q218">
        <v>82.220517481419506</v>
      </c>
      <c r="R218" t="b">
        <v>0</v>
      </c>
      <c r="S218">
        <v>77.8106508875739</v>
      </c>
      <c r="T218">
        <v>0.26706000000000002</v>
      </c>
      <c r="U218">
        <v>86</v>
      </c>
      <c r="V218" t="b">
        <v>1</v>
      </c>
      <c r="W218" t="b">
        <v>1</v>
      </c>
      <c r="X218">
        <v>56.7243675099866</v>
      </c>
    </row>
    <row r="219" spans="3:24" x14ac:dyDescent="0.35">
      <c r="C219" s="2" t="s">
        <v>20</v>
      </c>
      <c r="D219" s="3">
        <v>43100</v>
      </c>
      <c r="E219">
        <v>83.153623538610603</v>
      </c>
      <c r="F219">
        <v>90.711250296053606</v>
      </c>
      <c r="G219">
        <v>73.934509851152299</v>
      </c>
      <c r="H219">
        <v>80.707504937536797</v>
      </c>
      <c r="I219">
        <v>245557</v>
      </c>
      <c r="J219">
        <v>66.6666666666666</v>
      </c>
      <c r="K219">
        <v>14</v>
      </c>
      <c r="L219" t="b">
        <v>1</v>
      </c>
      <c r="M219">
        <v>14768</v>
      </c>
      <c r="N219" s="2" t="s">
        <v>100</v>
      </c>
      <c r="O219" t="b">
        <v>1</v>
      </c>
      <c r="P219" s="2" t="s">
        <v>100</v>
      </c>
      <c r="Q219">
        <v>85.960763534790999</v>
      </c>
      <c r="R219" s="2" t="s">
        <v>100</v>
      </c>
      <c r="S219">
        <v>78.171334431630896</v>
      </c>
      <c r="T219">
        <v>0.27806999999999998</v>
      </c>
      <c r="U219">
        <v>83</v>
      </c>
      <c r="V219" t="b">
        <v>1</v>
      </c>
      <c r="W219" t="b">
        <v>1</v>
      </c>
      <c r="X219">
        <v>58.034433285509301</v>
      </c>
    </row>
    <row r="220" spans="3:24" x14ac:dyDescent="0.35">
      <c r="C220" s="2" t="s">
        <v>20</v>
      </c>
      <c r="D220" s="3">
        <v>42735</v>
      </c>
      <c r="E220">
        <v>80.768023927310097</v>
      </c>
      <c r="F220">
        <v>83.426481062323106</v>
      </c>
      <c r="G220">
        <v>81.493486780371995</v>
      </c>
      <c r="H220">
        <v>79.598965676840393</v>
      </c>
      <c r="I220">
        <v>302400</v>
      </c>
      <c r="J220">
        <v>75</v>
      </c>
      <c r="K220">
        <v>12</v>
      </c>
      <c r="L220" t="b">
        <v>1</v>
      </c>
      <c r="M220">
        <v>19724</v>
      </c>
      <c r="N220" s="2" t="s">
        <v>100</v>
      </c>
      <c r="O220" t="b">
        <v>1</v>
      </c>
      <c r="P220" s="2" t="s">
        <v>100</v>
      </c>
      <c r="Q220">
        <v>86.761782529177495</v>
      </c>
      <c r="R220" s="2" t="s">
        <v>100</v>
      </c>
      <c r="S220">
        <v>76.760563380281596</v>
      </c>
      <c r="T220">
        <v>0.29076999999999997</v>
      </c>
      <c r="U220">
        <v>75</v>
      </c>
      <c r="V220" t="b">
        <v>1</v>
      </c>
      <c r="W220" t="b">
        <v>1</v>
      </c>
      <c r="X220">
        <v>58.215547703180199</v>
      </c>
    </row>
    <row r="221" spans="3:24" x14ac:dyDescent="0.35">
      <c r="C221" s="2" t="s">
        <v>21</v>
      </c>
      <c r="D221" s="3">
        <v>45657</v>
      </c>
      <c r="E221">
        <v>78.223810403578298</v>
      </c>
      <c r="F221">
        <v>53.608831481516702</v>
      </c>
      <c r="G221">
        <v>91.602689290597695</v>
      </c>
      <c r="H221">
        <v>72.8425812486051</v>
      </c>
      <c r="I221">
        <v>36993</v>
      </c>
      <c r="J221">
        <v>81.818181818181799</v>
      </c>
      <c r="K221">
        <v>10</v>
      </c>
      <c r="L221" t="b">
        <v>1</v>
      </c>
      <c r="M221" s="2" t="s">
        <v>100</v>
      </c>
      <c r="N221" s="2" t="s">
        <v>100</v>
      </c>
      <c r="O221" t="b">
        <v>1</v>
      </c>
      <c r="P221" s="2" t="s">
        <v>100</v>
      </c>
      <c r="Q221">
        <v>70.2374273937494</v>
      </c>
      <c r="R221" t="b">
        <v>0</v>
      </c>
      <c r="S221">
        <v>28.9317507418397</v>
      </c>
      <c r="T221" s="2" t="s">
        <v>100</v>
      </c>
      <c r="U221">
        <v>79</v>
      </c>
      <c r="V221" t="b">
        <v>1</v>
      </c>
      <c r="W221" t="b">
        <v>1</v>
      </c>
      <c r="X221">
        <v>53.717201166180701</v>
      </c>
    </row>
    <row r="222" spans="3:24" x14ac:dyDescent="0.35">
      <c r="C222" s="2" t="s">
        <v>21</v>
      </c>
      <c r="D222" s="3">
        <v>45291</v>
      </c>
      <c r="E222">
        <v>81.703508862944602</v>
      </c>
      <c r="F222">
        <v>56.205255049096401</v>
      </c>
      <c r="G222">
        <v>91.869362672217207</v>
      </c>
      <c r="H222">
        <v>75.077347131300399</v>
      </c>
      <c r="I222">
        <v>38604</v>
      </c>
      <c r="J222">
        <v>77.7777777777777</v>
      </c>
      <c r="K222">
        <v>9</v>
      </c>
      <c r="L222" t="b">
        <v>1</v>
      </c>
      <c r="M222" s="2" t="s">
        <v>100</v>
      </c>
      <c r="N222" s="2" t="s">
        <v>100</v>
      </c>
      <c r="O222" t="b">
        <v>1</v>
      </c>
      <c r="P222" s="2" t="s">
        <v>100</v>
      </c>
      <c r="Q222">
        <v>71.154811864450707</v>
      </c>
      <c r="R222" t="b">
        <v>0</v>
      </c>
      <c r="S222">
        <v>31.913303437967102</v>
      </c>
      <c r="T222" s="2" t="s">
        <v>100</v>
      </c>
      <c r="U222">
        <v>77</v>
      </c>
      <c r="V222" t="b">
        <v>1</v>
      </c>
      <c r="W222" t="b">
        <v>1</v>
      </c>
      <c r="X222">
        <v>55.947136563876597</v>
      </c>
    </row>
    <row r="223" spans="3:24" x14ac:dyDescent="0.35">
      <c r="C223" s="2" t="s">
        <v>21</v>
      </c>
      <c r="D223" s="3">
        <v>44926</v>
      </c>
      <c r="E223">
        <v>82.868266592570706</v>
      </c>
      <c r="F223">
        <v>65.191579000467399</v>
      </c>
      <c r="G223">
        <v>91.898054304304296</v>
      </c>
      <c r="H223">
        <v>78.8392531691145</v>
      </c>
      <c r="I223">
        <v>40480</v>
      </c>
      <c r="J223">
        <v>75</v>
      </c>
      <c r="K223">
        <v>8</v>
      </c>
      <c r="L223" t="b">
        <v>1</v>
      </c>
      <c r="M223" s="2" t="s">
        <v>100</v>
      </c>
      <c r="N223" s="2" t="s">
        <v>100</v>
      </c>
      <c r="O223" t="b">
        <v>1</v>
      </c>
      <c r="P223" s="2" t="s">
        <v>100</v>
      </c>
      <c r="Q223">
        <v>73.521960578472303</v>
      </c>
      <c r="R223" t="b">
        <v>0</v>
      </c>
      <c r="S223">
        <v>36.265432098765402</v>
      </c>
      <c r="T223">
        <v>0.55000000000000004</v>
      </c>
      <c r="U223">
        <v>80</v>
      </c>
      <c r="V223" t="b">
        <v>1</v>
      </c>
      <c r="W223" t="b">
        <v>1</v>
      </c>
      <c r="X223">
        <v>58.382789317507402</v>
      </c>
    </row>
    <row r="224" spans="3:24" x14ac:dyDescent="0.35">
      <c r="C224" s="2" t="s">
        <v>21</v>
      </c>
      <c r="D224" s="3">
        <v>44561</v>
      </c>
      <c r="E224">
        <v>77.101963071403503</v>
      </c>
      <c r="F224">
        <v>70.303326977258905</v>
      </c>
      <c r="G224">
        <v>87.285194612813498</v>
      </c>
      <c r="H224">
        <v>77.463519336016901</v>
      </c>
      <c r="I224">
        <v>44130</v>
      </c>
      <c r="J224">
        <v>77.7777777777777</v>
      </c>
      <c r="K224">
        <v>8</v>
      </c>
      <c r="L224" t="b">
        <v>1</v>
      </c>
      <c r="M224" s="2" t="s">
        <v>100</v>
      </c>
      <c r="N224" s="2" t="s">
        <v>100</v>
      </c>
      <c r="O224" t="b">
        <v>1</v>
      </c>
      <c r="P224" s="2" t="s">
        <v>100</v>
      </c>
      <c r="Q224">
        <v>75.621147307915805</v>
      </c>
      <c r="R224" s="2" t="s">
        <v>100</v>
      </c>
      <c r="S224">
        <v>71.862745098039198</v>
      </c>
      <c r="T224">
        <v>1.0620000000000001</v>
      </c>
      <c r="U224">
        <v>77</v>
      </c>
      <c r="V224" t="b">
        <v>1</v>
      </c>
      <c r="W224" t="b">
        <v>1</v>
      </c>
      <c r="X224">
        <v>57.948243992606201</v>
      </c>
    </row>
    <row r="225" spans="3:24" x14ac:dyDescent="0.35">
      <c r="C225" s="2" t="s">
        <v>21</v>
      </c>
      <c r="D225" s="3">
        <v>44196</v>
      </c>
      <c r="E225">
        <v>72.743440236152196</v>
      </c>
      <c r="F225">
        <v>68.977160676773096</v>
      </c>
      <c r="G225">
        <v>69.1530321530321</v>
      </c>
      <c r="H225">
        <v>70.314460123849798</v>
      </c>
      <c r="I225">
        <v>45498</v>
      </c>
      <c r="J225">
        <v>77.7777777777777</v>
      </c>
      <c r="K225">
        <v>8</v>
      </c>
      <c r="L225" t="b">
        <v>1</v>
      </c>
      <c r="M225" s="2" t="s">
        <v>100</v>
      </c>
      <c r="N225" s="2" t="s">
        <v>100</v>
      </c>
      <c r="O225" t="b">
        <v>1</v>
      </c>
      <c r="P225" s="2" t="s">
        <v>100</v>
      </c>
      <c r="Q225">
        <v>78.200069035947806</v>
      </c>
      <c r="R225" s="2" t="s">
        <v>100</v>
      </c>
      <c r="S225">
        <v>71.131639722863696</v>
      </c>
      <c r="T225">
        <v>0.56999999999999995</v>
      </c>
      <c r="U225">
        <v>73</v>
      </c>
      <c r="V225" t="b">
        <v>1</v>
      </c>
      <c r="W225" t="b">
        <v>1</v>
      </c>
      <c r="X225">
        <v>59.748427672955899</v>
      </c>
    </row>
    <row r="226" spans="3:24" x14ac:dyDescent="0.35">
      <c r="C226" s="2" t="s">
        <v>21</v>
      </c>
      <c r="D226" s="3">
        <v>43830</v>
      </c>
      <c r="E226">
        <v>68.904015996468999</v>
      </c>
      <c r="F226">
        <v>70.416762018931706</v>
      </c>
      <c r="G226">
        <v>63.805011836711103</v>
      </c>
      <c r="H226">
        <v>68.016654149229694</v>
      </c>
      <c r="I226">
        <v>57500</v>
      </c>
      <c r="J226">
        <v>66.6666666666666</v>
      </c>
      <c r="K226">
        <v>8</v>
      </c>
      <c r="L226" t="b">
        <v>1</v>
      </c>
      <c r="M226" s="2" t="s">
        <v>100</v>
      </c>
      <c r="N226" s="2" t="s">
        <v>100</v>
      </c>
      <c r="O226" t="b">
        <v>1</v>
      </c>
      <c r="P226">
        <v>21000</v>
      </c>
      <c r="Q226">
        <v>80.269779293880703</v>
      </c>
      <c r="R226" s="2" t="s">
        <v>100</v>
      </c>
      <c r="S226">
        <v>70.754716981132106</v>
      </c>
      <c r="T226">
        <v>0.59</v>
      </c>
      <c r="U226" s="2" t="s">
        <v>100</v>
      </c>
      <c r="V226" t="b">
        <v>1</v>
      </c>
      <c r="W226" t="b">
        <v>1</v>
      </c>
      <c r="X226">
        <v>58.145363408521298</v>
      </c>
    </row>
    <row r="227" spans="3:24" x14ac:dyDescent="0.35">
      <c r="C227" s="2" t="s">
        <v>21</v>
      </c>
      <c r="D227" s="3">
        <v>43465</v>
      </c>
      <c r="E227">
        <v>66.191447946949197</v>
      </c>
      <c r="F227">
        <v>63.301072162300898</v>
      </c>
      <c r="G227">
        <v>66.058798304435101</v>
      </c>
      <c r="H227">
        <v>65.074350445636597</v>
      </c>
      <c r="I227">
        <v>63000</v>
      </c>
      <c r="J227">
        <v>66.6666666666666</v>
      </c>
      <c r="K227">
        <v>9</v>
      </c>
      <c r="L227" t="b">
        <v>1</v>
      </c>
      <c r="M227" s="2" t="s">
        <v>100</v>
      </c>
      <c r="N227" s="2" t="s">
        <v>100</v>
      </c>
      <c r="O227" t="b">
        <v>1</v>
      </c>
      <c r="P227" s="2" t="s">
        <v>100</v>
      </c>
      <c r="Q227">
        <v>82.220517481419506</v>
      </c>
      <c r="R227" s="2" t="s">
        <v>100</v>
      </c>
      <c r="S227">
        <v>73.3333333333333</v>
      </c>
      <c r="T227">
        <v>0.6</v>
      </c>
      <c r="U227" s="2" t="s">
        <v>100</v>
      </c>
      <c r="V227" t="b">
        <v>0</v>
      </c>
      <c r="W227" t="b">
        <v>1</v>
      </c>
      <c r="X227">
        <v>59.090909090909101</v>
      </c>
    </row>
    <row r="228" spans="3:24" x14ac:dyDescent="0.35">
      <c r="C228" s="2" t="s">
        <v>21</v>
      </c>
      <c r="D228" s="3">
        <v>43100</v>
      </c>
      <c r="E228">
        <v>52.921443395722001</v>
      </c>
      <c r="F228">
        <v>64.559860133972094</v>
      </c>
      <c r="G228">
        <v>64.569409119784197</v>
      </c>
      <c r="H228">
        <v>60.584893048504</v>
      </c>
      <c r="I228">
        <v>58500</v>
      </c>
      <c r="J228">
        <v>66.6666666666666</v>
      </c>
      <c r="K228">
        <v>7</v>
      </c>
      <c r="L228" t="b">
        <v>1</v>
      </c>
      <c r="M228" s="2" t="s">
        <v>100</v>
      </c>
      <c r="N228" s="2" t="s">
        <v>100</v>
      </c>
      <c r="O228" t="b">
        <v>1</v>
      </c>
      <c r="P228" s="2" t="s">
        <v>100</v>
      </c>
      <c r="Q228">
        <v>85.960763534790999</v>
      </c>
      <c r="R228" s="2" t="s">
        <v>100</v>
      </c>
      <c r="S228">
        <v>75.806451612903203</v>
      </c>
      <c r="T228">
        <v>0.48</v>
      </c>
      <c r="U228" s="2" t="s">
        <v>100</v>
      </c>
      <c r="V228" t="b">
        <v>0</v>
      </c>
      <c r="W228" t="b">
        <v>1</v>
      </c>
      <c r="X228">
        <v>62.0860927152317</v>
      </c>
    </row>
    <row r="229" spans="3:24" x14ac:dyDescent="0.35">
      <c r="C229" s="2" t="s">
        <v>21</v>
      </c>
      <c r="D229" s="3">
        <v>42735</v>
      </c>
      <c r="E229">
        <v>52.467237806515897</v>
      </c>
      <c r="F229">
        <v>60.732527788364102</v>
      </c>
      <c r="G229">
        <v>63.954711044874998</v>
      </c>
      <c r="H229">
        <v>58.825392266358897</v>
      </c>
      <c r="I229">
        <v>60000</v>
      </c>
      <c r="J229">
        <v>66.6666666666666</v>
      </c>
      <c r="K229">
        <v>9</v>
      </c>
      <c r="L229" t="b">
        <v>1</v>
      </c>
      <c r="M229" s="2" t="s">
        <v>100</v>
      </c>
      <c r="N229" s="2" t="s">
        <v>100</v>
      </c>
      <c r="O229" t="b">
        <v>1</v>
      </c>
      <c r="P229" s="2" t="s">
        <v>100</v>
      </c>
      <c r="Q229">
        <v>86.761782529177495</v>
      </c>
      <c r="R229" s="2" t="s">
        <v>100</v>
      </c>
      <c r="S229">
        <v>74.3190661478599</v>
      </c>
      <c r="T229">
        <v>0.7</v>
      </c>
      <c r="U229" s="2" t="s">
        <v>100</v>
      </c>
      <c r="V229" t="b">
        <v>0</v>
      </c>
      <c r="W229" t="b">
        <v>1</v>
      </c>
      <c r="X229">
        <v>65.283018867924497</v>
      </c>
    </row>
    <row r="230" spans="3:24" x14ac:dyDescent="0.35">
      <c r="C230" s="2" t="s">
        <v>21</v>
      </c>
      <c r="D230" s="3">
        <v>42369</v>
      </c>
      <c r="E230">
        <v>52.832090112405901</v>
      </c>
      <c r="F230">
        <v>51.200318000942502</v>
      </c>
      <c r="G230">
        <v>82.665812815236805</v>
      </c>
      <c r="H230">
        <v>60.719703827918799</v>
      </c>
      <c r="I230">
        <v>61250</v>
      </c>
      <c r="J230">
        <v>66.6666666666666</v>
      </c>
      <c r="K230">
        <v>9</v>
      </c>
      <c r="L230" t="b">
        <v>1</v>
      </c>
      <c r="M230" s="2" t="s">
        <v>100</v>
      </c>
      <c r="N230" s="2" t="s">
        <v>100</v>
      </c>
      <c r="O230" t="b">
        <v>1</v>
      </c>
      <c r="P230" s="2" t="s">
        <v>100</v>
      </c>
      <c r="Q230">
        <v>87.208323109393802</v>
      </c>
      <c r="R230" s="2" t="s">
        <v>100</v>
      </c>
      <c r="S230">
        <v>68.663594470046107</v>
      </c>
      <c r="T230">
        <v>1.4</v>
      </c>
      <c r="U230" s="2" t="s">
        <v>100</v>
      </c>
      <c r="V230" t="b">
        <v>0</v>
      </c>
      <c r="W230" t="b">
        <v>1</v>
      </c>
      <c r="X230">
        <v>69.247787610619397</v>
      </c>
    </row>
    <row r="231" spans="3:24" x14ac:dyDescent="0.35">
      <c r="C231" s="2" t="s">
        <v>22</v>
      </c>
      <c r="D231" s="3">
        <v>46022</v>
      </c>
      <c r="E231">
        <v>69.474683013403094</v>
      </c>
      <c r="F231">
        <v>88.784723865130303</v>
      </c>
      <c r="G231">
        <v>90.800057870370296</v>
      </c>
      <c r="H231">
        <v>86.729598224368004</v>
      </c>
      <c r="I231">
        <v>80383</v>
      </c>
      <c r="J231">
        <v>75</v>
      </c>
      <c r="K231">
        <v>11</v>
      </c>
      <c r="L231" t="b">
        <v>1</v>
      </c>
      <c r="M231">
        <v>670.93499999999995</v>
      </c>
      <c r="N231" s="2" t="s">
        <v>100</v>
      </c>
      <c r="O231" t="b">
        <v>1</v>
      </c>
      <c r="P231">
        <v>3011417.6</v>
      </c>
      <c r="Q231">
        <v>69.909916611739803</v>
      </c>
      <c r="R231" t="b">
        <v>0</v>
      </c>
      <c r="S231">
        <v>70.472837022132794</v>
      </c>
      <c r="T231">
        <v>0.1</v>
      </c>
      <c r="U231">
        <v>75</v>
      </c>
      <c r="V231" t="b">
        <v>1</v>
      </c>
      <c r="W231" t="b">
        <v>1</v>
      </c>
      <c r="X231">
        <v>50.7944389275074</v>
      </c>
    </row>
    <row r="232" spans="3:24" x14ac:dyDescent="0.35">
      <c r="C232" s="2" t="s">
        <v>22</v>
      </c>
      <c r="D232" s="3">
        <v>45657</v>
      </c>
      <c r="E232">
        <v>74.465729469654093</v>
      </c>
      <c r="F232">
        <v>85.700652124745005</v>
      </c>
      <c r="G232">
        <v>89.431907397593605</v>
      </c>
      <c r="H232">
        <v>85.426075160637396</v>
      </c>
      <c r="I232">
        <v>90533</v>
      </c>
      <c r="J232">
        <v>75</v>
      </c>
      <c r="K232">
        <v>12</v>
      </c>
      <c r="L232" t="b">
        <v>1</v>
      </c>
      <c r="M232">
        <v>725.23</v>
      </c>
      <c r="N232" s="2" t="s">
        <v>100</v>
      </c>
      <c r="O232" t="b">
        <v>1</v>
      </c>
      <c r="P232">
        <v>2822175.6</v>
      </c>
      <c r="Q232">
        <v>70.2374273937494</v>
      </c>
      <c r="R232" t="b">
        <v>0</v>
      </c>
      <c r="S232">
        <v>71.099999999999994</v>
      </c>
      <c r="T232">
        <v>0.13</v>
      </c>
      <c r="U232">
        <v>81</v>
      </c>
      <c r="V232" t="b">
        <v>1</v>
      </c>
      <c r="W232" t="b">
        <v>1</v>
      </c>
      <c r="X232">
        <v>51.080550098231797</v>
      </c>
    </row>
    <row r="233" spans="3:24" x14ac:dyDescent="0.35">
      <c r="C233" s="2" t="s">
        <v>22</v>
      </c>
      <c r="D233" s="3">
        <v>45291</v>
      </c>
      <c r="E233">
        <v>81.157466948658396</v>
      </c>
      <c r="F233">
        <v>92.991714040340597</v>
      </c>
      <c r="G233">
        <v>93.225294875607105</v>
      </c>
      <c r="H233">
        <v>91.371671559834297</v>
      </c>
      <c r="I233">
        <v>94229</v>
      </c>
      <c r="J233">
        <v>80</v>
      </c>
      <c r="K233">
        <v>13</v>
      </c>
      <c r="L233" t="b">
        <v>1</v>
      </c>
      <c r="M233">
        <v>998.40700000000004</v>
      </c>
      <c r="N233" s="2" t="s">
        <v>100</v>
      </c>
      <c r="O233" t="b">
        <v>1</v>
      </c>
      <c r="P233">
        <v>3228404</v>
      </c>
      <c r="Q233">
        <v>71.154811864450707</v>
      </c>
      <c r="R233" t="b">
        <v>0</v>
      </c>
      <c r="S233">
        <v>96.189495365602397</v>
      </c>
      <c r="T233" s="2" t="s">
        <v>100</v>
      </c>
      <c r="U233">
        <v>83</v>
      </c>
      <c r="V233" t="b">
        <v>1</v>
      </c>
      <c r="W233" t="b">
        <v>1</v>
      </c>
      <c r="X233">
        <v>51.998001998002003</v>
      </c>
    </row>
    <row r="234" spans="3:24" x14ac:dyDescent="0.35">
      <c r="C234" s="2" t="s">
        <v>22</v>
      </c>
      <c r="D234" s="3">
        <v>44926</v>
      </c>
      <c r="E234">
        <v>80.6104981758847</v>
      </c>
      <c r="F234">
        <v>91.531488981370401</v>
      </c>
      <c r="G234">
        <v>94.320476726726696</v>
      </c>
      <c r="H234">
        <v>90.962901893708704</v>
      </c>
      <c r="I234">
        <v>91481</v>
      </c>
      <c r="J234">
        <v>81.25</v>
      </c>
      <c r="K234">
        <v>14</v>
      </c>
      <c r="L234" t="b">
        <v>1</v>
      </c>
      <c r="M234">
        <v>1575.954</v>
      </c>
      <c r="N234" s="2" t="s">
        <v>100</v>
      </c>
      <c r="O234" t="b">
        <v>1</v>
      </c>
      <c r="P234">
        <v>3047535.6</v>
      </c>
      <c r="Q234">
        <v>73.521960578472303</v>
      </c>
      <c r="R234" t="b">
        <v>0</v>
      </c>
      <c r="S234">
        <v>97.164948453608204</v>
      </c>
      <c r="T234" s="2" t="s">
        <v>100</v>
      </c>
      <c r="U234">
        <v>80</v>
      </c>
      <c r="V234" t="b">
        <v>1</v>
      </c>
      <c r="W234" t="b">
        <v>1</v>
      </c>
      <c r="X234">
        <v>52.667984189723299</v>
      </c>
    </row>
    <row r="235" spans="3:24" x14ac:dyDescent="0.35">
      <c r="C235" s="2" t="s">
        <v>22</v>
      </c>
      <c r="D235" s="3">
        <v>44561</v>
      </c>
      <c r="E235">
        <v>83.277918399430703</v>
      </c>
      <c r="F235">
        <v>92.546563597426299</v>
      </c>
      <c r="G235">
        <v>83.032776894914207</v>
      </c>
      <c r="H235">
        <v>87.786915476010506</v>
      </c>
      <c r="I235">
        <v>99158</v>
      </c>
      <c r="J235">
        <v>78.571428571428498</v>
      </c>
      <c r="K235">
        <v>13</v>
      </c>
      <c r="L235" t="b">
        <v>1</v>
      </c>
      <c r="M235">
        <v>3633.87</v>
      </c>
      <c r="N235" s="2" t="s">
        <v>100</v>
      </c>
      <c r="O235" t="b">
        <v>1</v>
      </c>
      <c r="P235">
        <v>3079590.4</v>
      </c>
      <c r="Q235">
        <v>75.621147307915805</v>
      </c>
      <c r="R235" s="2" t="s">
        <v>100</v>
      </c>
      <c r="S235">
        <v>97.085201793721893</v>
      </c>
      <c r="T235" s="2" t="s">
        <v>100</v>
      </c>
      <c r="U235">
        <v>81</v>
      </c>
      <c r="V235" t="b">
        <v>1</v>
      </c>
      <c r="W235" t="b">
        <v>1</v>
      </c>
      <c r="X235">
        <v>53.922594142259399</v>
      </c>
    </row>
    <row r="236" spans="3:24" x14ac:dyDescent="0.35">
      <c r="C236" s="2" t="s">
        <v>22</v>
      </c>
      <c r="D236" s="3">
        <v>44196</v>
      </c>
      <c r="E236">
        <v>83.823692940864703</v>
      </c>
      <c r="F236">
        <v>93.263684126336599</v>
      </c>
      <c r="G236">
        <v>84.597883597883495</v>
      </c>
      <c r="H236">
        <v>88.784637205385593</v>
      </c>
      <c r="I236">
        <v>117858</v>
      </c>
      <c r="J236">
        <v>78.571428571428498</v>
      </c>
      <c r="K236">
        <v>13</v>
      </c>
      <c r="L236" t="b">
        <v>1</v>
      </c>
      <c r="M236">
        <v>4064.1869999999999</v>
      </c>
      <c r="N236" s="2" t="s">
        <v>100</v>
      </c>
      <c r="O236" t="b">
        <v>1</v>
      </c>
      <c r="P236">
        <v>2658511.7999999998</v>
      </c>
      <c r="Q236">
        <v>78.200069035947806</v>
      </c>
      <c r="R236" s="2" t="s">
        <v>100</v>
      </c>
      <c r="S236">
        <v>96.826424870466298</v>
      </c>
      <c r="T236" s="2" t="s">
        <v>100</v>
      </c>
      <c r="U236" s="2" t="s">
        <v>100</v>
      </c>
      <c r="V236" t="b">
        <v>1</v>
      </c>
      <c r="W236" t="b">
        <v>1</v>
      </c>
      <c r="X236">
        <v>55.594405594405501</v>
      </c>
    </row>
    <row r="237" spans="3:24" x14ac:dyDescent="0.35">
      <c r="C237" s="2" t="s">
        <v>22</v>
      </c>
      <c r="D237" s="3">
        <v>43830</v>
      </c>
      <c r="E237">
        <v>83.603895694746896</v>
      </c>
      <c r="F237">
        <v>92.180620202392205</v>
      </c>
      <c r="G237">
        <v>79.323979444540598</v>
      </c>
      <c r="H237">
        <v>86.6182336082462</v>
      </c>
      <c r="I237">
        <v>146313</v>
      </c>
      <c r="J237">
        <v>80</v>
      </c>
      <c r="K237">
        <v>13</v>
      </c>
      <c r="L237" t="b">
        <v>1</v>
      </c>
      <c r="M237">
        <v>4800</v>
      </c>
      <c r="N237" s="2" t="s">
        <v>100</v>
      </c>
      <c r="O237" t="b">
        <v>1</v>
      </c>
      <c r="P237">
        <v>2160588.7999999998</v>
      </c>
      <c r="Q237">
        <v>80.269779293880703</v>
      </c>
      <c r="R237" s="2" t="s">
        <v>100</v>
      </c>
      <c r="S237">
        <v>97.062663185378597</v>
      </c>
      <c r="T237" s="2" t="s">
        <v>100</v>
      </c>
      <c r="U237" s="2" t="s">
        <v>100</v>
      </c>
      <c r="V237" t="b">
        <v>1</v>
      </c>
      <c r="W237" t="b">
        <v>1</v>
      </c>
      <c r="X237">
        <v>54.151404151404101</v>
      </c>
    </row>
    <row r="238" spans="3:24" x14ac:dyDescent="0.35">
      <c r="C238" s="2" t="s">
        <v>22</v>
      </c>
      <c r="D238" s="3">
        <v>43465</v>
      </c>
      <c r="E238">
        <v>86.130052196066302</v>
      </c>
      <c r="F238">
        <v>91.918043453246497</v>
      </c>
      <c r="G238">
        <v>80.887591030355395</v>
      </c>
      <c r="H238">
        <v>87.365929053451595</v>
      </c>
      <c r="I238">
        <v>147950</v>
      </c>
      <c r="J238">
        <v>76.923076923076906</v>
      </c>
      <c r="K238">
        <v>13</v>
      </c>
      <c r="L238" t="b">
        <v>1</v>
      </c>
      <c r="M238">
        <v>5100</v>
      </c>
      <c r="N238" s="2" t="s">
        <v>100</v>
      </c>
      <c r="O238" t="b">
        <v>1</v>
      </c>
      <c r="P238">
        <v>1967662.0800000001</v>
      </c>
      <c r="Q238">
        <v>82.220517481419506</v>
      </c>
      <c r="R238" s="2" t="s">
        <v>100</v>
      </c>
      <c r="S238">
        <v>97.411242603550306</v>
      </c>
      <c r="T238" s="2" t="s">
        <v>100</v>
      </c>
      <c r="U238">
        <v>67</v>
      </c>
      <c r="V238" t="b">
        <v>1</v>
      </c>
      <c r="W238" t="b">
        <v>1</v>
      </c>
      <c r="X238">
        <v>56.7243675099866</v>
      </c>
    </row>
    <row r="239" spans="3:24" x14ac:dyDescent="0.35">
      <c r="C239" s="2" t="s">
        <v>22</v>
      </c>
      <c r="D239" s="3">
        <v>43100</v>
      </c>
      <c r="E239">
        <v>86.156707766064599</v>
      </c>
      <c r="F239">
        <v>94.429457302545003</v>
      </c>
      <c r="G239">
        <v>79.449029762452895</v>
      </c>
      <c r="H239">
        <v>88.289020334717904</v>
      </c>
      <c r="I239">
        <v>187936</v>
      </c>
      <c r="J239">
        <v>78.571428571428498</v>
      </c>
      <c r="K239">
        <v>13</v>
      </c>
      <c r="L239" t="b">
        <v>1</v>
      </c>
      <c r="M239">
        <v>4800</v>
      </c>
      <c r="N239" s="2" t="s">
        <v>100</v>
      </c>
      <c r="O239" t="b">
        <v>1</v>
      </c>
      <c r="P239">
        <v>2181492.56</v>
      </c>
      <c r="Q239">
        <v>85.960763534790999</v>
      </c>
      <c r="R239" s="2" t="s">
        <v>100</v>
      </c>
      <c r="S239">
        <v>97.034596375617696</v>
      </c>
      <c r="T239" s="2" t="s">
        <v>100</v>
      </c>
      <c r="U239" s="2" t="s">
        <v>100</v>
      </c>
      <c r="V239" t="b">
        <v>1</v>
      </c>
      <c r="W239" t="b">
        <v>1</v>
      </c>
      <c r="X239">
        <v>58.034433285509301</v>
      </c>
    </row>
    <row r="240" spans="3:24" x14ac:dyDescent="0.35">
      <c r="C240" s="2" t="s">
        <v>22</v>
      </c>
      <c r="D240" s="3">
        <v>42735</v>
      </c>
      <c r="E240">
        <v>78.520832916074099</v>
      </c>
      <c r="F240">
        <v>94.2594588723085</v>
      </c>
      <c r="G240">
        <v>48.530523817408998</v>
      </c>
      <c r="H240">
        <v>72.781860498308504</v>
      </c>
      <c r="I240">
        <v>200115</v>
      </c>
      <c r="J240">
        <v>70.588235294117595</v>
      </c>
      <c r="K240">
        <v>13</v>
      </c>
      <c r="L240" t="b">
        <v>1</v>
      </c>
      <c r="M240">
        <v>5000</v>
      </c>
      <c r="N240" s="2" t="s">
        <v>100</v>
      </c>
      <c r="O240" t="b">
        <v>1</v>
      </c>
      <c r="P240">
        <v>2427404</v>
      </c>
      <c r="Q240">
        <v>86.761782529177495</v>
      </c>
      <c r="R240" s="2" t="s">
        <v>100</v>
      </c>
      <c r="S240">
        <v>96.780684104627696</v>
      </c>
      <c r="T240" s="2" t="s">
        <v>100</v>
      </c>
      <c r="U240" s="2" t="s">
        <v>100</v>
      </c>
      <c r="V240" t="b">
        <v>1</v>
      </c>
      <c r="W240" t="b">
        <v>1</v>
      </c>
      <c r="X240">
        <v>58.215547703180199</v>
      </c>
    </row>
    <row r="241" spans="3:24" x14ac:dyDescent="0.35">
      <c r="C241" s="2" t="s">
        <v>23</v>
      </c>
      <c r="D241" s="3">
        <v>45657</v>
      </c>
      <c r="E241">
        <v>77.238638408146798</v>
      </c>
      <c r="F241">
        <v>77.282146457994102</v>
      </c>
      <c r="G241">
        <v>90.759067891420798</v>
      </c>
      <c r="H241">
        <v>83.512214384279602</v>
      </c>
      <c r="I241">
        <v>32692</v>
      </c>
      <c r="J241">
        <v>81.818181818181799</v>
      </c>
      <c r="K241">
        <v>10</v>
      </c>
      <c r="L241" t="b">
        <v>1</v>
      </c>
      <c r="M241" s="2" t="s">
        <v>100</v>
      </c>
      <c r="N241" s="2" t="s">
        <v>100</v>
      </c>
      <c r="O241" t="b">
        <v>1</v>
      </c>
      <c r="P241">
        <v>500000</v>
      </c>
      <c r="Q241">
        <v>70.2374273937494</v>
      </c>
      <c r="R241" t="b">
        <v>0</v>
      </c>
      <c r="S241">
        <v>32.159353348729702</v>
      </c>
      <c r="T241">
        <v>7.4999999999999997E-2</v>
      </c>
      <c r="U241">
        <v>69</v>
      </c>
      <c r="V241" t="b">
        <v>1</v>
      </c>
      <c r="W241" t="b">
        <v>1</v>
      </c>
      <c r="X241">
        <v>51.905829596412502</v>
      </c>
    </row>
    <row r="242" spans="3:24" x14ac:dyDescent="0.35">
      <c r="C242" s="2" t="s">
        <v>23</v>
      </c>
      <c r="D242" s="3">
        <v>45291</v>
      </c>
      <c r="E242">
        <v>77.770729624796502</v>
      </c>
      <c r="F242">
        <v>77.364299293297705</v>
      </c>
      <c r="G242">
        <v>92.013173663485802</v>
      </c>
      <c r="H242">
        <v>84.199118379505506</v>
      </c>
      <c r="I242">
        <v>40933</v>
      </c>
      <c r="J242">
        <v>81.818181818181799</v>
      </c>
      <c r="K242">
        <v>10</v>
      </c>
      <c r="L242" t="b">
        <v>1</v>
      </c>
      <c r="M242" s="2" t="s">
        <v>100</v>
      </c>
      <c r="N242" s="2" t="s">
        <v>100</v>
      </c>
      <c r="O242" t="b">
        <v>1</v>
      </c>
      <c r="P242">
        <v>506000</v>
      </c>
      <c r="Q242">
        <v>71.154811864450707</v>
      </c>
      <c r="R242" t="b">
        <v>0</v>
      </c>
      <c r="S242">
        <v>32.397660818713398</v>
      </c>
      <c r="T242">
        <v>0.15</v>
      </c>
      <c r="U242" s="2" t="s">
        <v>100</v>
      </c>
      <c r="V242" t="b">
        <v>1</v>
      </c>
      <c r="W242" t="b">
        <v>1</v>
      </c>
      <c r="X242">
        <v>52.423900789176997</v>
      </c>
    </row>
    <row r="243" spans="3:24" x14ac:dyDescent="0.35">
      <c r="C243" s="2" t="s">
        <v>23</v>
      </c>
      <c r="D243" s="3">
        <v>44926</v>
      </c>
      <c r="E243">
        <v>78.051130651239703</v>
      </c>
      <c r="F243">
        <v>78.233731915880597</v>
      </c>
      <c r="G243">
        <v>85.456612862862798</v>
      </c>
      <c r="H243">
        <v>81.550590790343904</v>
      </c>
      <c r="I243">
        <v>42481</v>
      </c>
      <c r="J243">
        <v>81.818181818181799</v>
      </c>
      <c r="K243">
        <v>10</v>
      </c>
      <c r="L243" t="b">
        <v>1</v>
      </c>
      <c r="M243" s="2" t="s">
        <v>100</v>
      </c>
      <c r="N243" s="2" t="s">
        <v>100</v>
      </c>
      <c r="O243" t="b">
        <v>1</v>
      </c>
      <c r="P243">
        <v>400000</v>
      </c>
      <c r="Q243">
        <v>73.521960578472303</v>
      </c>
      <c r="R243" t="b">
        <v>0</v>
      </c>
      <c r="S243">
        <v>33.293556085918802</v>
      </c>
      <c r="T243">
        <v>8.5000000000000006E-2</v>
      </c>
      <c r="U243" s="2" t="s">
        <v>100</v>
      </c>
      <c r="V243" t="b">
        <v>1</v>
      </c>
      <c r="W243" t="b">
        <v>1</v>
      </c>
      <c r="X243">
        <v>53.518728717366599</v>
      </c>
    </row>
    <row r="244" spans="3:24" x14ac:dyDescent="0.35">
      <c r="C244" s="2" t="s">
        <v>23</v>
      </c>
      <c r="D244" s="3">
        <v>44561</v>
      </c>
      <c r="E244">
        <v>78.600206544722994</v>
      </c>
      <c r="F244">
        <v>79.192683564470201</v>
      </c>
      <c r="G244">
        <v>93.413587973054604</v>
      </c>
      <c r="H244">
        <v>85.690804475726907</v>
      </c>
      <c r="I244">
        <v>49695</v>
      </c>
      <c r="J244">
        <v>75</v>
      </c>
      <c r="K244">
        <v>11</v>
      </c>
      <c r="L244" t="b">
        <v>1</v>
      </c>
      <c r="M244">
        <v>2192</v>
      </c>
      <c r="N244" s="2" t="s">
        <v>100</v>
      </c>
      <c r="O244" t="b">
        <v>1</v>
      </c>
      <c r="P244">
        <v>400000</v>
      </c>
      <c r="Q244">
        <v>75.621147307915805</v>
      </c>
      <c r="R244" t="b">
        <v>0</v>
      </c>
      <c r="S244">
        <v>33.921015514809497</v>
      </c>
      <c r="T244">
        <v>3.5000000000000003E-2</v>
      </c>
      <c r="U244" s="2" t="s">
        <v>100</v>
      </c>
      <c r="V244" t="b">
        <v>1</v>
      </c>
      <c r="W244" t="b">
        <v>1</v>
      </c>
      <c r="X244">
        <v>54.298941798941797</v>
      </c>
    </row>
    <row r="245" spans="3:24" x14ac:dyDescent="0.35">
      <c r="C245" s="2" t="s">
        <v>23</v>
      </c>
      <c r="D245" s="3">
        <v>44196</v>
      </c>
      <c r="E245">
        <v>78.624536179962604</v>
      </c>
      <c r="F245">
        <v>79.423076231997101</v>
      </c>
      <c r="G245">
        <v>94.8270248270248</v>
      </c>
      <c r="H245">
        <v>86.440016037383103</v>
      </c>
      <c r="I245">
        <v>58957</v>
      </c>
      <c r="J245">
        <v>75</v>
      </c>
      <c r="K245">
        <v>11</v>
      </c>
      <c r="L245" t="b">
        <v>1</v>
      </c>
      <c r="M245">
        <v>2618</v>
      </c>
      <c r="N245" s="2" t="s">
        <v>100</v>
      </c>
      <c r="O245" t="b">
        <v>1</v>
      </c>
      <c r="P245">
        <v>474800</v>
      </c>
      <c r="Q245">
        <v>78.200069035947806</v>
      </c>
      <c r="R245" t="b">
        <v>0</v>
      </c>
      <c r="S245">
        <v>34.146341463414601</v>
      </c>
      <c r="T245">
        <v>5.5E-2</v>
      </c>
      <c r="U245" s="2" t="s">
        <v>100</v>
      </c>
      <c r="V245" t="b">
        <v>1</v>
      </c>
      <c r="W245" t="b">
        <v>1</v>
      </c>
      <c r="X245">
        <v>55.097451274362797</v>
      </c>
    </row>
    <row r="246" spans="3:24" x14ac:dyDescent="0.35">
      <c r="C246" s="2" t="s">
        <v>23</v>
      </c>
      <c r="D246" s="3">
        <v>43830</v>
      </c>
      <c r="E246">
        <v>78.599461305617794</v>
      </c>
      <c r="F246">
        <v>80.207482581729394</v>
      </c>
      <c r="G246">
        <v>85.302788844621503</v>
      </c>
      <c r="H246">
        <v>82.341986382270704</v>
      </c>
      <c r="I246">
        <v>78114</v>
      </c>
      <c r="J246">
        <v>76.923076923076906</v>
      </c>
      <c r="K246">
        <v>11</v>
      </c>
      <c r="L246" t="b">
        <v>1</v>
      </c>
      <c r="M246">
        <v>4587</v>
      </c>
      <c r="N246" s="2" t="s">
        <v>100</v>
      </c>
      <c r="O246" t="b">
        <v>1</v>
      </c>
      <c r="P246">
        <v>348945</v>
      </c>
      <c r="Q246">
        <v>80.269779293880703</v>
      </c>
      <c r="R246" t="b">
        <v>0</v>
      </c>
      <c r="S246">
        <v>35.140997830802597</v>
      </c>
      <c r="T246">
        <v>0.25</v>
      </c>
      <c r="U246" s="2" t="s">
        <v>100</v>
      </c>
      <c r="V246" t="b">
        <v>1</v>
      </c>
      <c r="W246" t="b">
        <v>1</v>
      </c>
      <c r="X246">
        <v>56.822612085769897</v>
      </c>
    </row>
    <row r="247" spans="3:24" x14ac:dyDescent="0.35">
      <c r="C247" s="2" t="s">
        <v>23</v>
      </c>
      <c r="D247" s="3">
        <v>43465</v>
      </c>
      <c r="E247">
        <v>77.638449206542404</v>
      </c>
      <c r="F247">
        <v>78.758797109892697</v>
      </c>
      <c r="G247">
        <v>91.230992254592806</v>
      </c>
      <c r="H247">
        <v>84.374468933196297</v>
      </c>
      <c r="I247">
        <v>83320</v>
      </c>
      <c r="J247">
        <v>72.727272727272705</v>
      </c>
      <c r="K247">
        <v>11</v>
      </c>
      <c r="L247" t="b">
        <v>1</v>
      </c>
      <c r="M247">
        <v>6448</v>
      </c>
      <c r="N247" s="2" t="s">
        <v>100</v>
      </c>
      <c r="O247" t="b">
        <v>1</v>
      </c>
      <c r="P247">
        <v>347000</v>
      </c>
      <c r="Q247">
        <v>82.220517481419506</v>
      </c>
      <c r="R247" t="b">
        <v>0</v>
      </c>
      <c r="S247">
        <v>35.953608247422601</v>
      </c>
      <c r="T247">
        <v>0.14000000000000001</v>
      </c>
      <c r="U247" s="2" t="s">
        <v>100</v>
      </c>
      <c r="V247" t="b">
        <v>1</v>
      </c>
      <c r="W247" t="b">
        <v>1</v>
      </c>
      <c r="X247">
        <v>57.093821510297403</v>
      </c>
    </row>
    <row r="248" spans="3:24" x14ac:dyDescent="0.35">
      <c r="C248" s="2" t="s">
        <v>23</v>
      </c>
      <c r="D248" s="3">
        <v>43100</v>
      </c>
      <c r="E248">
        <v>78.632379943410598</v>
      </c>
      <c r="F248">
        <v>78.693346394199096</v>
      </c>
      <c r="G248">
        <v>91.308763900598095</v>
      </c>
      <c r="H248">
        <v>84.522351439981193</v>
      </c>
      <c r="I248">
        <v>92821</v>
      </c>
      <c r="J248">
        <v>72.727272727272705</v>
      </c>
      <c r="K248">
        <v>11</v>
      </c>
      <c r="L248" t="b">
        <v>1</v>
      </c>
      <c r="M248">
        <v>6664</v>
      </c>
      <c r="N248" s="2" t="s">
        <v>100</v>
      </c>
      <c r="O248" t="b">
        <v>1</v>
      </c>
      <c r="P248">
        <v>241000</v>
      </c>
      <c r="Q248">
        <v>85.960763534790999</v>
      </c>
      <c r="R248" s="2" t="s">
        <v>100</v>
      </c>
      <c r="S248">
        <v>35.779816513761403</v>
      </c>
      <c r="T248">
        <v>0.27500000000000002</v>
      </c>
      <c r="U248" s="2" t="s">
        <v>100</v>
      </c>
      <c r="V248" t="b">
        <v>1</v>
      </c>
      <c r="W248" t="b">
        <v>1</v>
      </c>
      <c r="X248">
        <v>58.005249343831998</v>
      </c>
    </row>
    <row r="249" spans="3:24" x14ac:dyDescent="0.35">
      <c r="C249" s="2" t="s">
        <v>23</v>
      </c>
      <c r="D249" s="3">
        <v>42735</v>
      </c>
      <c r="E249">
        <v>82.093716684434895</v>
      </c>
      <c r="F249">
        <v>82.346472857819094</v>
      </c>
      <c r="G249">
        <v>93.850389137274306</v>
      </c>
      <c r="H249">
        <v>86.150311761654095</v>
      </c>
      <c r="I249">
        <v>99879</v>
      </c>
      <c r="J249">
        <v>66.6666666666666</v>
      </c>
      <c r="K249">
        <v>10</v>
      </c>
      <c r="L249" t="b">
        <v>1</v>
      </c>
      <c r="M249">
        <v>7107</v>
      </c>
      <c r="N249" s="2" t="s">
        <v>100</v>
      </c>
      <c r="O249" t="b">
        <v>1</v>
      </c>
      <c r="P249" s="2" t="s">
        <v>100</v>
      </c>
      <c r="Q249">
        <v>86.761782529177495</v>
      </c>
      <c r="R249" s="2" t="s">
        <v>100</v>
      </c>
      <c r="S249">
        <v>29.050279329608902</v>
      </c>
      <c r="T249">
        <v>0.375</v>
      </c>
      <c r="U249" s="2" t="s">
        <v>100</v>
      </c>
      <c r="V249" t="b">
        <v>1</v>
      </c>
      <c r="W249" t="b">
        <v>1</v>
      </c>
      <c r="X249">
        <v>57.028753993610202</v>
      </c>
    </row>
    <row r="250" spans="3:24" x14ac:dyDescent="0.35">
      <c r="C250" s="2" t="s">
        <v>23</v>
      </c>
      <c r="D250" s="3">
        <v>42369</v>
      </c>
      <c r="E250">
        <v>82.8037590215351</v>
      </c>
      <c r="F250">
        <v>81.8366260644069</v>
      </c>
      <c r="G250">
        <v>89.661375587314396</v>
      </c>
      <c r="H250">
        <v>84.618192719868702</v>
      </c>
      <c r="I250">
        <v>103393</v>
      </c>
      <c r="J250">
        <v>50</v>
      </c>
      <c r="K250">
        <v>10</v>
      </c>
      <c r="L250" t="b">
        <v>1</v>
      </c>
      <c r="M250">
        <v>7604</v>
      </c>
      <c r="N250" s="2" t="s">
        <v>100</v>
      </c>
      <c r="O250" t="b">
        <v>1</v>
      </c>
      <c r="P250" s="2" t="s">
        <v>100</v>
      </c>
      <c r="Q250">
        <v>87.208323109393802</v>
      </c>
      <c r="R250" s="2" t="s">
        <v>100</v>
      </c>
      <c r="S250">
        <v>26.174496644295299</v>
      </c>
      <c r="T250">
        <v>0.46500000000000002</v>
      </c>
      <c r="U250" s="2" t="s">
        <v>100</v>
      </c>
      <c r="V250" t="b">
        <v>1</v>
      </c>
      <c r="W250" t="b">
        <v>1</v>
      </c>
      <c r="X250">
        <v>59.4</v>
      </c>
    </row>
    <row r="251" spans="3:24" x14ac:dyDescent="0.35">
      <c r="C251" s="2" t="s">
        <v>24</v>
      </c>
      <c r="D251" s="3">
        <v>46022</v>
      </c>
      <c r="E251">
        <v>86.7112202202063</v>
      </c>
      <c r="F251">
        <v>87.109406052349399</v>
      </c>
      <c r="G251">
        <v>59.254918981481403</v>
      </c>
      <c r="H251">
        <v>80.417995944581904</v>
      </c>
      <c r="I251">
        <v>53000000</v>
      </c>
      <c r="J251">
        <v>56.25</v>
      </c>
      <c r="K251">
        <v>16</v>
      </c>
      <c r="L251" t="b">
        <v>1</v>
      </c>
      <c r="M251">
        <v>2390000</v>
      </c>
      <c r="N251">
        <v>2745</v>
      </c>
      <c r="O251" t="b">
        <v>1</v>
      </c>
      <c r="P251">
        <v>2023999.6</v>
      </c>
      <c r="Q251">
        <v>69.909916611739803</v>
      </c>
      <c r="R251" t="b">
        <v>0</v>
      </c>
      <c r="S251">
        <v>99.063670411985001</v>
      </c>
      <c r="T251">
        <v>0.6</v>
      </c>
      <c r="U251">
        <v>76</v>
      </c>
      <c r="V251" t="b">
        <v>1</v>
      </c>
      <c r="W251" t="b">
        <v>1</v>
      </c>
      <c r="X251">
        <v>53.237410071942399</v>
      </c>
    </row>
    <row r="252" spans="3:24" x14ac:dyDescent="0.35">
      <c r="C252" s="2" t="s">
        <v>24</v>
      </c>
      <c r="D252" s="3">
        <v>45657</v>
      </c>
      <c r="E252">
        <v>86.739350214517501</v>
      </c>
      <c r="F252">
        <v>88.107963167956001</v>
      </c>
      <c r="G252">
        <v>78.027349244669395</v>
      </c>
      <c r="H252">
        <v>85.263748362858706</v>
      </c>
      <c r="I252">
        <v>58000000</v>
      </c>
      <c r="J252">
        <v>75</v>
      </c>
      <c r="K252">
        <v>12</v>
      </c>
      <c r="L252" t="b">
        <v>1</v>
      </c>
      <c r="M252">
        <v>2661000</v>
      </c>
      <c r="N252">
        <v>2270</v>
      </c>
      <c r="O252" t="b">
        <v>1</v>
      </c>
      <c r="P252">
        <v>2112000</v>
      </c>
      <c r="Q252">
        <v>70.2374273937494</v>
      </c>
      <c r="R252" t="b">
        <v>0</v>
      </c>
      <c r="S252">
        <v>99.077490774907702</v>
      </c>
      <c r="T252">
        <v>0.5</v>
      </c>
      <c r="U252">
        <v>75</v>
      </c>
      <c r="V252" t="b">
        <v>1</v>
      </c>
      <c r="W252" t="b">
        <v>1</v>
      </c>
      <c r="X252">
        <v>53.345070422535201</v>
      </c>
    </row>
    <row r="253" spans="3:24" x14ac:dyDescent="0.35">
      <c r="C253" s="2" t="s">
        <v>24</v>
      </c>
      <c r="D253" s="3">
        <v>45291</v>
      </c>
      <c r="E253">
        <v>86.492383808560206</v>
      </c>
      <c r="F253">
        <v>93.294332273491605</v>
      </c>
      <c r="G253">
        <v>83.474621324755105</v>
      </c>
      <c r="H253">
        <v>88.636472972165294</v>
      </c>
      <c r="I253">
        <v>58000000</v>
      </c>
      <c r="J253">
        <v>78.571428571428498</v>
      </c>
      <c r="K253">
        <v>12</v>
      </c>
      <c r="L253" t="b">
        <v>1</v>
      </c>
      <c r="M253">
        <v>2905000</v>
      </c>
      <c r="N253">
        <v>1000</v>
      </c>
      <c r="O253" t="b">
        <v>1</v>
      </c>
      <c r="P253">
        <v>2360000</v>
      </c>
      <c r="Q253">
        <v>71.154811864450707</v>
      </c>
      <c r="R253" t="b">
        <v>0</v>
      </c>
      <c r="S253">
        <v>99.438202247191001</v>
      </c>
      <c r="T253">
        <v>0.5</v>
      </c>
      <c r="U253">
        <v>79</v>
      </c>
      <c r="V253" t="b">
        <v>1</v>
      </c>
      <c r="W253" t="b">
        <v>1</v>
      </c>
      <c r="X253">
        <v>53.710247349823298</v>
      </c>
    </row>
    <row r="254" spans="3:24" x14ac:dyDescent="0.35">
      <c r="C254" s="2" t="s">
        <v>24</v>
      </c>
      <c r="D254" s="3">
        <v>44926</v>
      </c>
      <c r="E254">
        <v>89.809027014458096</v>
      </c>
      <c r="F254">
        <v>92.765032918069807</v>
      </c>
      <c r="G254">
        <v>90.091435185185105</v>
      </c>
      <c r="H254">
        <v>91.115839257320999</v>
      </c>
      <c r="I254">
        <v>59000000</v>
      </c>
      <c r="J254">
        <v>69.230769230769198</v>
      </c>
      <c r="K254">
        <v>11</v>
      </c>
      <c r="L254" t="b">
        <v>1</v>
      </c>
      <c r="M254">
        <v>2505000</v>
      </c>
      <c r="N254">
        <v>900</v>
      </c>
      <c r="O254" t="b">
        <v>1</v>
      </c>
      <c r="P254">
        <v>2128000</v>
      </c>
      <c r="Q254">
        <v>73.521960578472303</v>
      </c>
      <c r="R254" t="b">
        <v>0</v>
      </c>
      <c r="S254">
        <v>99.436090225563902</v>
      </c>
      <c r="T254">
        <v>0.4</v>
      </c>
      <c r="U254">
        <v>78</v>
      </c>
      <c r="V254" t="b">
        <v>1</v>
      </c>
      <c r="W254" t="b">
        <v>1</v>
      </c>
      <c r="X254">
        <v>54.878048780487802</v>
      </c>
    </row>
    <row r="255" spans="3:24" x14ac:dyDescent="0.35">
      <c r="C255" s="2" t="s">
        <v>24</v>
      </c>
      <c r="D255" s="3">
        <v>44561</v>
      </c>
      <c r="E255">
        <v>90.806090094030097</v>
      </c>
      <c r="F255">
        <v>91.550387790442301</v>
      </c>
      <c r="G255">
        <v>87.635824258589906</v>
      </c>
      <c r="H255">
        <v>90.372458342616895</v>
      </c>
      <c r="I255">
        <v>69000000</v>
      </c>
      <c r="J255">
        <v>66.6666666666666</v>
      </c>
      <c r="K255">
        <v>16</v>
      </c>
      <c r="L255" t="b">
        <v>1</v>
      </c>
      <c r="M255">
        <v>2284000</v>
      </c>
      <c r="N255">
        <v>1000</v>
      </c>
      <c r="O255" t="b">
        <v>1</v>
      </c>
      <c r="P255">
        <v>2168000</v>
      </c>
      <c r="Q255">
        <v>75.621147307915805</v>
      </c>
      <c r="R255" t="b">
        <v>0</v>
      </c>
      <c r="S255">
        <v>99.404761904761898</v>
      </c>
      <c r="T255">
        <v>0.3</v>
      </c>
      <c r="U255">
        <v>75</v>
      </c>
      <c r="V255" t="b">
        <v>1</v>
      </c>
      <c r="W255" t="b">
        <v>1</v>
      </c>
      <c r="X255">
        <v>56.451612903225801</v>
      </c>
    </row>
    <row r="256" spans="3:24" x14ac:dyDescent="0.35">
      <c r="C256" s="2" t="s">
        <v>24</v>
      </c>
      <c r="D256" s="3">
        <v>44196</v>
      </c>
      <c r="E256">
        <v>92.174079872696296</v>
      </c>
      <c r="F256">
        <v>92.893794977445694</v>
      </c>
      <c r="G256">
        <v>92.308099308099202</v>
      </c>
      <c r="H256">
        <v>92.507611960274104</v>
      </c>
      <c r="I256">
        <v>73000000</v>
      </c>
      <c r="J256">
        <v>70</v>
      </c>
      <c r="K256">
        <v>17</v>
      </c>
      <c r="L256" t="b">
        <v>1</v>
      </c>
      <c r="M256">
        <v>2465000</v>
      </c>
      <c r="N256">
        <v>1400</v>
      </c>
      <c r="O256" t="b">
        <v>1</v>
      </c>
      <c r="P256">
        <v>1872000</v>
      </c>
      <c r="Q256">
        <v>78.200069035947806</v>
      </c>
      <c r="R256" t="b">
        <v>0</v>
      </c>
      <c r="S256">
        <v>97.345132743362797</v>
      </c>
      <c r="T256">
        <v>0.2</v>
      </c>
      <c r="U256">
        <v>78</v>
      </c>
      <c r="V256" t="b">
        <v>1</v>
      </c>
      <c r="W256" t="b">
        <v>1</v>
      </c>
      <c r="X256">
        <v>59.586466165413498</v>
      </c>
    </row>
    <row r="257" spans="3:24" x14ac:dyDescent="0.35">
      <c r="C257" s="2" t="s">
        <v>24</v>
      </c>
      <c r="D257" s="3">
        <v>43830</v>
      </c>
      <c r="E257">
        <v>90.561592453850295</v>
      </c>
      <c r="F257">
        <v>81.9456093150729</v>
      </c>
      <c r="G257">
        <v>98.708181765690796</v>
      </c>
      <c r="H257">
        <v>88.863102896443195</v>
      </c>
      <c r="I257">
        <v>81000000</v>
      </c>
      <c r="J257">
        <v>83.3333333333333</v>
      </c>
      <c r="K257">
        <v>12</v>
      </c>
      <c r="L257" t="b">
        <v>1</v>
      </c>
      <c r="M257">
        <v>2569000</v>
      </c>
      <c r="N257">
        <v>1300</v>
      </c>
      <c r="O257" t="b">
        <v>1</v>
      </c>
      <c r="P257">
        <v>2984000</v>
      </c>
      <c r="Q257">
        <v>80.269779293880703</v>
      </c>
      <c r="R257" t="b">
        <v>0</v>
      </c>
      <c r="S257">
        <v>70.270270270270203</v>
      </c>
      <c r="T257">
        <v>0.3</v>
      </c>
      <c r="U257">
        <v>78</v>
      </c>
      <c r="V257" t="b">
        <v>1</v>
      </c>
      <c r="W257" t="b">
        <v>1</v>
      </c>
      <c r="X257">
        <v>60.227272727272698</v>
      </c>
    </row>
    <row r="258" spans="3:24" x14ac:dyDescent="0.35">
      <c r="C258" s="2" t="s">
        <v>24</v>
      </c>
      <c r="D258" s="3">
        <v>43465</v>
      </c>
      <c r="E258">
        <v>91.758751830448603</v>
      </c>
      <c r="F258">
        <v>83.260953163678195</v>
      </c>
      <c r="G258">
        <v>96.220271639514095</v>
      </c>
      <c r="H258">
        <v>89.242778227309202</v>
      </c>
      <c r="I258">
        <v>82000000</v>
      </c>
      <c r="J258">
        <v>83.3333333333333</v>
      </c>
      <c r="K258">
        <v>11</v>
      </c>
      <c r="L258" t="b">
        <v>1</v>
      </c>
      <c r="M258">
        <v>2418000</v>
      </c>
      <c r="N258">
        <v>1400</v>
      </c>
      <c r="O258" t="b">
        <v>1</v>
      </c>
      <c r="P258">
        <v>2520000</v>
      </c>
      <c r="Q258">
        <v>82.220517481419506</v>
      </c>
      <c r="R258" t="b">
        <v>0</v>
      </c>
      <c r="S258">
        <v>71.359223300970797</v>
      </c>
      <c r="T258">
        <v>0.3</v>
      </c>
      <c r="U258">
        <v>77</v>
      </c>
      <c r="V258" t="b">
        <v>1</v>
      </c>
      <c r="W258" t="b">
        <v>1</v>
      </c>
      <c r="X258">
        <v>62.5</v>
      </c>
    </row>
    <row r="259" spans="3:24" x14ac:dyDescent="0.35">
      <c r="C259" s="2" t="s">
        <v>24</v>
      </c>
      <c r="D259" s="3">
        <v>43100</v>
      </c>
      <c r="E259">
        <v>91.873944073615206</v>
      </c>
      <c r="F259">
        <v>79.638915852794597</v>
      </c>
      <c r="G259">
        <v>94.560978432081001</v>
      </c>
      <c r="H259">
        <v>87.372273649615593</v>
      </c>
      <c r="I259">
        <v>84000000</v>
      </c>
      <c r="J259">
        <v>61.1111111111111</v>
      </c>
      <c r="K259">
        <v>15</v>
      </c>
      <c r="L259" t="b">
        <v>1</v>
      </c>
      <c r="M259">
        <v>2424000</v>
      </c>
      <c r="N259">
        <v>1200</v>
      </c>
      <c r="O259" t="b">
        <v>1</v>
      </c>
      <c r="P259">
        <v>3396640</v>
      </c>
      <c r="Q259">
        <v>85.960763534790999</v>
      </c>
      <c r="R259" s="2" t="s">
        <v>100</v>
      </c>
      <c r="S259">
        <v>72.802197802197796</v>
      </c>
      <c r="T259">
        <v>0.2</v>
      </c>
      <c r="U259">
        <v>76</v>
      </c>
      <c r="V259" t="b">
        <v>1</v>
      </c>
      <c r="W259" t="b">
        <v>1</v>
      </c>
      <c r="X259">
        <v>67.206477732793502</v>
      </c>
    </row>
    <row r="260" spans="3:24" x14ac:dyDescent="0.35">
      <c r="C260" s="2" t="s">
        <v>24</v>
      </c>
      <c r="D260" s="3">
        <v>42735</v>
      </c>
      <c r="E260">
        <v>93.665059908017398</v>
      </c>
      <c r="F260">
        <v>82.382063957471402</v>
      </c>
      <c r="G260">
        <v>97.267897554782806</v>
      </c>
      <c r="H260">
        <v>89.778352818203501</v>
      </c>
      <c r="I260">
        <v>83000000</v>
      </c>
      <c r="J260">
        <v>81.818181818181799</v>
      </c>
      <c r="K260">
        <v>11</v>
      </c>
      <c r="L260" t="b">
        <v>1</v>
      </c>
      <c r="M260">
        <v>2801000</v>
      </c>
      <c r="N260">
        <v>1000</v>
      </c>
      <c r="O260" t="b">
        <v>1</v>
      </c>
      <c r="P260">
        <v>4384000</v>
      </c>
      <c r="Q260">
        <v>86.761782529177495</v>
      </c>
      <c r="R260" s="2" t="s">
        <v>100</v>
      </c>
      <c r="S260">
        <v>71.893491124260294</v>
      </c>
      <c r="T260">
        <v>0.3</v>
      </c>
      <c r="U260">
        <v>79</v>
      </c>
      <c r="V260" t="b">
        <v>1</v>
      </c>
      <c r="W260" t="b">
        <v>1</v>
      </c>
      <c r="X260">
        <v>70.2643171806167</v>
      </c>
    </row>
    <row r="261" spans="3:24" x14ac:dyDescent="0.35">
      <c r="C261" s="2" t="s">
        <v>25</v>
      </c>
      <c r="D261" s="3">
        <v>45747</v>
      </c>
      <c r="E261">
        <v>81.290424942863396</v>
      </c>
      <c r="F261">
        <v>66.141939122148401</v>
      </c>
      <c r="G261">
        <v>62.278950414230003</v>
      </c>
      <c r="H261">
        <v>68.196656465054602</v>
      </c>
      <c r="I261">
        <v>649574</v>
      </c>
      <c r="J261">
        <v>69.230769230769198</v>
      </c>
      <c r="K261">
        <v>12</v>
      </c>
      <c r="L261" t="b">
        <v>1</v>
      </c>
      <c r="M261">
        <v>164000</v>
      </c>
      <c r="N261" s="2" t="s">
        <v>100</v>
      </c>
      <c r="O261" t="b">
        <v>1</v>
      </c>
      <c r="P261">
        <v>1895875.2</v>
      </c>
      <c r="Q261">
        <v>69.909916611739803</v>
      </c>
      <c r="R261" t="b">
        <v>0</v>
      </c>
      <c r="S261">
        <v>70.560747663551396</v>
      </c>
      <c r="T261">
        <v>2.75</v>
      </c>
      <c r="U261">
        <v>76</v>
      </c>
      <c r="V261" t="b">
        <v>1</v>
      </c>
      <c r="W261" t="b">
        <v>1</v>
      </c>
      <c r="X261">
        <v>50.921658986175103</v>
      </c>
    </row>
    <row r="262" spans="3:24" x14ac:dyDescent="0.35">
      <c r="C262" s="2" t="s">
        <v>25</v>
      </c>
      <c r="D262" s="3">
        <v>45382</v>
      </c>
      <c r="E262">
        <v>81.9062055435612</v>
      </c>
      <c r="F262">
        <v>65.599556147242495</v>
      </c>
      <c r="G262">
        <v>49.557981183798098</v>
      </c>
      <c r="H262">
        <v>64.661167521722604</v>
      </c>
      <c r="I262">
        <v>679731</v>
      </c>
      <c r="J262">
        <v>64.285714285714207</v>
      </c>
      <c r="K262">
        <v>10</v>
      </c>
      <c r="L262" t="b">
        <v>1</v>
      </c>
      <c r="M262">
        <v>69000</v>
      </c>
      <c r="N262" s="2" t="s">
        <v>100</v>
      </c>
      <c r="O262" t="b">
        <v>1</v>
      </c>
      <c r="P262">
        <v>2005075.5</v>
      </c>
      <c r="Q262">
        <v>70.2374273937494</v>
      </c>
      <c r="R262" t="b">
        <v>0</v>
      </c>
      <c r="S262">
        <v>71.495327102803699</v>
      </c>
      <c r="T262">
        <v>3.15</v>
      </c>
      <c r="U262">
        <v>75</v>
      </c>
      <c r="V262" t="b">
        <v>1</v>
      </c>
      <c r="W262" t="b">
        <v>1</v>
      </c>
      <c r="X262">
        <v>51.382488479262598</v>
      </c>
    </row>
    <row r="263" spans="3:24" x14ac:dyDescent="0.35">
      <c r="C263" s="2" t="s">
        <v>25</v>
      </c>
      <c r="D263" s="3">
        <v>45016</v>
      </c>
      <c r="E263">
        <v>81.673674151935003</v>
      </c>
      <c r="F263">
        <v>68.585121615670104</v>
      </c>
      <c r="G263">
        <v>53.328017012227498</v>
      </c>
      <c r="H263">
        <v>67.200646536708206</v>
      </c>
      <c r="I263">
        <v>681719</v>
      </c>
      <c r="J263">
        <v>69.230769230769198</v>
      </c>
      <c r="K263">
        <v>12</v>
      </c>
      <c r="L263" t="b">
        <v>1</v>
      </c>
      <c r="M263">
        <v>80665</v>
      </c>
      <c r="N263" s="2" t="s">
        <v>100</v>
      </c>
      <c r="O263" t="b">
        <v>1</v>
      </c>
      <c r="P263">
        <v>2599899.2999999998</v>
      </c>
      <c r="Q263">
        <v>71.154811864450707</v>
      </c>
      <c r="R263" t="b">
        <v>0</v>
      </c>
      <c r="S263">
        <v>73.023255813953398</v>
      </c>
      <c r="T263">
        <v>3.25</v>
      </c>
      <c r="U263">
        <v>73</v>
      </c>
      <c r="V263" t="b">
        <v>1</v>
      </c>
      <c r="W263" t="b">
        <v>1</v>
      </c>
      <c r="X263">
        <v>52.293577981651303</v>
      </c>
    </row>
    <row r="264" spans="3:24" x14ac:dyDescent="0.35">
      <c r="C264" s="2" t="s">
        <v>25</v>
      </c>
      <c r="D264" s="3">
        <v>44651</v>
      </c>
      <c r="E264">
        <v>83.037347993543705</v>
      </c>
      <c r="F264">
        <v>72.322302252098496</v>
      </c>
      <c r="G264">
        <v>58.024180430430398</v>
      </c>
      <c r="H264">
        <v>70.709657751979506</v>
      </c>
      <c r="I264">
        <v>733664</v>
      </c>
      <c r="J264">
        <v>61.538461538461497</v>
      </c>
      <c r="K264">
        <v>11</v>
      </c>
      <c r="L264" t="b">
        <v>1</v>
      </c>
      <c r="M264">
        <v>41983</v>
      </c>
      <c r="N264" s="2" t="s">
        <v>100</v>
      </c>
      <c r="O264" t="b">
        <v>1</v>
      </c>
      <c r="P264">
        <v>3079829</v>
      </c>
      <c r="Q264">
        <v>73.521960578472303</v>
      </c>
      <c r="R264" t="b">
        <v>0</v>
      </c>
      <c r="S264">
        <v>75.348837209302303</v>
      </c>
      <c r="T264">
        <v>3.15</v>
      </c>
      <c r="U264">
        <v>79</v>
      </c>
      <c r="V264" t="b">
        <v>1</v>
      </c>
      <c r="W264" t="b">
        <v>1</v>
      </c>
      <c r="X264">
        <v>52.293577981651303</v>
      </c>
    </row>
    <row r="265" spans="3:24" x14ac:dyDescent="0.35">
      <c r="C265" s="2" t="s">
        <v>25</v>
      </c>
      <c r="D265" s="3">
        <v>44286</v>
      </c>
      <c r="E265">
        <v>83.942901359995503</v>
      </c>
      <c r="F265">
        <v>75.904930138508306</v>
      </c>
      <c r="G265">
        <v>71.608444550700497</v>
      </c>
      <c r="H265">
        <v>76.399587903986699</v>
      </c>
      <c r="I265">
        <v>792866</v>
      </c>
      <c r="J265">
        <v>64.285714285714207</v>
      </c>
      <c r="K265">
        <v>12</v>
      </c>
      <c r="L265" t="b">
        <v>1</v>
      </c>
      <c r="M265">
        <v>28260</v>
      </c>
      <c r="N265" s="2" t="s">
        <v>100</v>
      </c>
      <c r="O265" t="b">
        <v>1</v>
      </c>
      <c r="P265" s="2" t="s">
        <v>100</v>
      </c>
      <c r="Q265">
        <v>75.621147307915805</v>
      </c>
      <c r="R265" t="b">
        <v>0</v>
      </c>
      <c r="S265">
        <v>75.263157894736807</v>
      </c>
      <c r="T265">
        <v>2.4</v>
      </c>
      <c r="U265">
        <v>80</v>
      </c>
      <c r="V265" t="b">
        <v>1</v>
      </c>
      <c r="W265" t="b">
        <v>1</v>
      </c>
      <c r="X265">
        <v>52.564102564102498</v>
      </c>
    </row>
    <row r="266" spans="3:24" x14ac:dyDescent="0.35">
      <c r="C266" s="2" t="s">
        <v>25</v>
      </c>
      <c r="D266" s="3">
        <v>43921</v>
      </c>
      <c r="E266">
        <v>78.7886005685844</v>
      </c>
      <c r="F266">
        <v>76.560031065896595</v>
      </c>
      <c r="G266">
        <v>71.012210012210005</v>
      </c>
      <c r="H266">
        <v>75.542261996246097</v>
      </c>
      <c r="I266">
        <v>760787</v>
      </c>
      <c r="J266">
        <v>69.230769230769198</v>
      </c>
      <c r="K266">
        <v>12</v>
      </c>
      <c r="L266" t="b">
        <v>1</v>
      </c>
      <c r="M266">
        <v>40597</v>
      </c>
      <c r="N266" s="2" t="s">
        <v>100</v>
      </c>
      <c r="O266" t="b">
        <v>1</v>
      </c>
      <c r="P266">
        <v>2601888</v>
      </c>
      <c r="Q266">
        <v>78.200069035947806</v>
      </c>
      <c r="R266" t="b">
        <v>0</v>
      </c>
      <c r="S266">
        <v>75</v>
      </c>
      <c r="T266">
        <v>1.1000000000000001</v>
      </c>
      <c r="U266">
        <v>79</v>
      </c>
      <c r="V266" t="b">
        <v>1</v>
      </c>
      <c r="W266" t="b">
        <v>1</v>
      </c>
      <c r="X266">
        <v>54.9479166666666</v>
      </c>
    </row>
    <row r="267" spans="3:24" x14ac:dyDescent="0.35">
      <c r="C267" s="2" t="s">
        <v>25</v>
      </c>
      <c r="D267" s="3">
        <v>43555</v>
      </c>
      <c r="E267">
        <v>75.846039309112498</v>
      </c>
      <c r="F267">
        <v>77.401080843360702</v>
      </c>
      <c r="G267">
        <v>65.422310756972095</v>
      </c>
      <c r="H267">
        <v>73.909513321598894</v>
      </c>
      <c r="I267">
        <v>882302</v>
      </c>
      <c r="J267">
        <v>64.285714285714207</v>
      </c>
      <c r="K267">
        <v>11</v>
      </c>
      <c r="L267" t="b">
        <v>1</v>
      </c>
      <c r="M267">
        <v>31939</v>
      </c>
      <c r="N267" s="2" t="s">
        <v>100</v>
      </c>
      <c r="O267" t="b">
        <v>1</v>
      </c>
      <c r="P267">
        <v>2987600</v>
      </c>
      <c r="Q267">
        <v>80.269779293880703</v>
      </c>
      <c r="R267" t="b">
        <v>0</v>
      </c>
      <c r="S267">
        <v>76.420454545454504</v>
      </c>
      <c r="T267">
        <v>1.2</v>
      </c>
      <c r="U267">
        <v>77</v>
      </c>
      <c r="V267" t="b">
        <v>1</v>
      </c>
      <c r="W267" t="b">
        <v>1</v>
      </c>
      <c r="X267">
        <v>53.804347826086897</v>
      </c>
    </row>
    <row r="268" spans="3:24" x14ac:dyDescent="0.35">
      <c r="C268" s="2" t="s">
        <v>25</v>
      </c>
      <c r="D268" s="3">
        <v>43190</v>
      </c>
      <c r="E268">
        <v>78.677790885531394</v>
      </c>
      <c r="F268">
        <v>74.250046086751993</v>
      </c>
      <c r="G268">
        <v>45.250824443761303</v>
      </c>
      <c r="H268">
        <v>67.462371398229493</v>
      </c>
      <c r="I268">
        <v>991006</v>
      </c>
      <c r="J268">
        <v>58.3333333333333</v>
      </c>
      <c r="K268">
        <v>11</v>
      </c>
      <c r="L268" t="b">
        <v>1</v>
      </c>
      <c r="M268">
        <v>28107</v>
      </c>
      <c r="N268" s="2" t="s">
        <v>100</v>
      </c>
      <c r="O268" t="b">
        <v>1</v>
      </c>
      <c r="P268">
        <v>3288000</v>
      </c>
      <c r="Q268">
        <v>82.220517481419506</v>
      </c>
      <c r="R268" t="b">
        <v>0</v>
      </c>
      <c r="S268">
        <v>78.787878787878697</v>
      </c>
      <c r="T268">
        <v>1.1499999999999999</v>
      </c>
      <c r="U268">
        <v>74</v>
      </c>
      <c r="V268" t="b">
        <v>1</v>
      </c>
      <c r="W268" t="b">
        <v>1</v>
      </c>
      <c r="X268">
        <v>55.142857142857103</v>
      </c>
    </row>
    <row r="269" spans="3:24" x14ac:dyDescent="0.35">
      <c r="C269" s="2" t="s">
        <v>25</v>
      </c>
      <c r="D269" s="3">
        <v>42825</v>
      </c>
      <c r="E269">
        <v>80.187763448461894</v>
      </c>
      <c r="F269">
        <v>76.2610866337819</v>
      </c>
      <c r="G269">
        <v>54.582421189600701</v>
      </c>
      <c r="H269">
        <v>71.312223040958898</v>
      </c>
      <c r="I269">
        <v>404780</v>
      </c>
      <c r="J269">
        <v>58.3333333333333</v>
      </c>
      <c r="K269">
        <v>11</v>
      </c>
      <c r="L269" t="b">
        <v>1</v>
      </c>
      <c r="M269">
        <v>31052</v>
      </c>
      <c r="N269" s="2" t="s">
        <v>100</v>
      </c>
      <c r="O269" t="b">
        <v>1</v>
      </c>
      <c r="P269" s="2" t="s">
        <v>100</v>
      </c>
      <c r="Q269">
        <v>85.960763534790999</v>
      </c>
      <c r="R269" s="2" t="s">
        <v>100</v>
      </c>
      <c r="S269">
        <v>82.484076433121004</v>
      </c>
      <c r="T269">
        <v>1.25</v>
      </c>
      <c r="U269">
        <v>71</v>
      </c>
      <c r="V269" t="b">
        <v>1</v>
      </c>
      <c r="W269" t="b">
        <v>1</v>
      </c>
      <c r="X269">
        <v>55.952380952380899</v>
      </c>
    </row>
    <row r="270" spans="3:24" x14ac:dyDescent="0.35">
      <c r="C270" s="2" t="s">
        <v>25</v>
      </c>
      <c r="D270" s="3">
        <v>42460</v>
      </c>
      <c r="E270">
        <v>82.6806991241221</v>
      </c>
      <c r="F270">
        <v>79.176090891384803</v>
      </c>
      <c r="G270">
        <v>36.450709278578103</v>
      </c>
      <c r="H270">
        <v>68.562051489046794</v>
      </c>
      <c r="I270">
        <v>222647</v>
      </c>
      <c r="J270">
        <v>64.285714285714207</v>
      </c>
      <c r="K270">
        <v>11</v>
      </c>
      <c r="L270" t="b">
        <v>1</v>
      </c>
      <c r="M270">
        <v>36413</v>
      </c>
      <c r="N270" s="2" t="s">
        <v>100</v>
      </c>
      <c r="O270" t="b">
        <v>1</v>
      </c>
      <c r="P270" s="2" t="s">
        <v>100</v>
      </c>
      <c r="Q270">
        <v>86.761782529177495</v>
      </c>
      <c r="R270" s="2" t="s">
        <v>100</v>
      </c>
      <c r="S270">
        <v>79.4326241134751</v>
      </c>
      <c r="T270">
        <v>1.35</v>
      </c>
      <c r="U270">
        <v>76.2</v>
      </c>
      <c r="V270" t="b">
        <v>1</v>
      </c>
      <c r="W270" t="b">
        <v>1</v>
      </c>
      <c r="X270">
        <v>56.730769230769198</v>
      </c>
    </row>
    <row r="271" spans="3:24" x14ac:dyDescent="0.35">
      <c r="C271" s="2" t="s">
        <v>26</v>
      </c>
      <c r="D271" s="3">
        <v>46022</v>
      </c>
      <c r="E271">
        <v>49.322415310787299</v>
      </c>
      <c r="F271">
        <v>86.902677073034496</v>
      </c>
      <c r="G271">
        <v>45.942144858674403</v>
      </c>
      <c r="H271">
        <v>63.6167243673803</v>
      </c>
      <c r="I271">
        <v>926097</v>
      </c>
      <c r="J271">
        <v>58.3333333333333</v>
      </c>
      <c r="K271">
        <v>12</v>
      </c>
      <c r="L271" t="b">
        <v>1</v>
      </c>
      <c r="M271">
        <v>103541034</v>
      </c>
      <c r="N271" s="2" t="s">
        <v>100</v>
      </c>
      <c r="O271" t="b">
        <v>1</v>
      </c>
      <c r="P271">
        <v>423443</v>
      </c>
      <c r="Q271">
        <v>69.909916611739803</v>
      </c>
      <c r="R271" t="b">
        <v>0</v>
      </c>
      <c r="S271">
        <v>57.142857142857103</v>
      </c>
      <c r="T271">
        <v>4.0999999999999996</v>
      </c>
      <c r="U271" s="2" t="s">
        <v>100</v>
      </c>
      <c r="V271" t="b">
        <v>1</v>
      </c>
      <c r="W271" t="b">
        <v>1</v>
      </c>
      <c r="X271">
        <v>55.863192182410401</v>
      </c>
    </row>
    <row r="272" spans="3:24" x14ac:dyDescent="0.35">
      <c r="C272" s="2" t="s">
        <v>26</v>
      </c>
      <c r="D272" s="3">
        <v>45657</v>
      </c>
      <c r="E272">
        <v>43.802050001832399</v>
      </c>
      <c r="F272">
        <v>84.979677683672506</v>
      </c>
      <c r="G272">
        <v>33.035347438942097</v>
      </c>
      <c r="H272">
        <v>57.730281522736398</v>
      </c>
      <c r="I272">
        <v>1012994</v>
      </c>
      <c r="J272">
        <v>64.285714285714207</v>
      </c>
      <c r="K272">
        <v>12</v>
      </c>
      <c r="L272" t="b">
        <v>1</v>
      </c>
      <c r="M272">
        <v>113698818</v>
      </c>
      <c r="N272" s="2" t="s">
        <v>100</v>
      </c>
      <c r="O272" t="b">
        <v>1</v>
      </c>
      <c r="P272">
        <v>480993</v>
      </c>
      <c r="Q272">
        <v>70.2374273937494</v>
      </c>
      <c r="R272" t="b">
        <v>0</v>
      </c>
      <c r="S272">
        <v>69.546247818499097</v>
      </c>
      <c r="T272">
        <v>4.75</v>
      </c>
      <c r="U272" s="2" t="s">
        <v>100</v>
      </c>
      <c r="V272" t="b">
        <v>1</v>
      </c>
      <c r="W272" t="b">
        <v>1</v>
      </c>
      <c r="X272">
        <v>56.574675324675297</v>
      </c>
    </row>
    <row r="273" spans="3:24" x14ac:dyDescent="0.35">
      <c r="C273" s="2" t="s">
        <v>26</v>
      </c>
      <c r="D273" s="3">
        <v>45291</v>
      </c>
      <c r="E273">
        <v>39.789312389358997</v>
      </c>
      <c r="F273">
        <v>86.013904601235097</v>
      </c>
      <c r="G273">
        <v>35.862730786905601</v>
      </c>
      <c r="H273">
        <v>57.428425641830799</v>
      </c>
      <c r="I273">
        <v>984130</v>
      </c>
      <c r="J273">
        <v>58.3333333333333</v>
      </c>
      <c r="K273">
        <v>12</v>
      </c>
      <c r="L273" t="b">
        <v>1</v>
      </c>
      <c r="M273">
        <v>123488200</v>
      </c>
      <c r="N273" s="2" t="s">
        <v>100</v>
      </c>
      <c r="O273" t="b">
        <v>1</v>
      </c>
      <c r="P273">
        <v>471900</v>
      </c>
      <c r="Q273">
        <v>71.154811864450707</v>
      </c>
      <c r="R273" t="b">
        <v>0</v>
      </c>
      <c r="S273">
        <v>70.366972477064195</v>
      </c>
      <c r="T273">
        <v>7.4</v>
      </c>
      <c r="U273" s="2" t="s">
        <v>100</v>
      </c>
      <c r="V273" t="b">
        <v>1</v>
      </c>
      <c r="W273" t="b">
        <v>1</v>
      </c>
      <c r="X273">
        <v>59.380234505862603</v>
      </c>
    </row>
    <row r="274" spans="3:24" x14ac:dyDescent="0.35">
      <c r="C274" s="2" t="s">
        <v>26</v>
      </c>
      <c r="D274" s="3">
        <v>44926</v>
      </c>
      <c r="E274">
        <v>43.118784283226702</v>
      </c>
      <c r="F274">
        <v>88.644713348009702</v>
      </c>
      <c r="G274">
        <v>34.886136136136102</v>
      </c>
      <c r="H274">
        <v>59.419292342755597</v>
      </c>
      <c r="I274">
        <v>1024640</v>
      </c>
      <c r="J274">
        <v>53.846153846153797</v>
      </c>
      <c r="K274">
        <v>12</v>
      </c>
      <c r="L274" t="b">
        <v>1</v>
      </c>
      <c r="M274">
        <v>162942149</v>
      </c>
      <c r="N274" s="2" t="s">
        <v>100</v>
      </c>
      <c r="O274" t="b">
        <v>1</v>
      </c>
      <c r="P274">
        <v>669810</v>
      </c>
      <c r="Q274">
        <v>73.521960578472303</v>
      </c>
      <c r="R274" t="b">
        <v>0</v>
      </c>
      <c r="S274">
        <v>74.019607843137194</v>
      </c>
      <c r="T274">
        <v>5.44</v>
      </c>
      <c r="U274" s="2" t="s">
        <v>100</v>
      </c>
      <c r="V274" t="b">
        <v>1</v>
      </c>
      <c r="W274" t="b">
        <v>1</v>
      </c>
      <c r="X274">
        <v>62.155172413793103</v>
      </c>
    </row>
    <row r="275" spans="3:24" x14ac:dyDescent="0.35">
      <c r="C275" s="2" t="s">
        <v>26</v>
      </c>
      <c r="D275" s="3">
        <v>44561</v>
      </c>
      <c r="E275">
        <v>44.892654112932902</v>
      </c>
      <c r="F275">
        <v>79.881719254453103</v>
      </c>
      <c r="G275">
        <v>43.649687560061999</v>
      </c>
      <c r="H275">
        <v>58.668970944081202</v>
      </c>
      <c r="I275">
        <v>1009703</v>
      </c>
      <c r="J275">
        <v>53.846153846153797</v>
      </c>
      <c r="K275">
        <v>13</v>
      </c>
      <c r="L275" t="b">
        <v>1</v>
      </c>
      <c r="M275">
        <v>174455998</v>
      </c>
      <c r="N275" s="2" t="s">
        <v>100</v>
      </c>
      <c r="O275" t="b">
        <v>1</v>
      </c>
      <c r="P275">
        <v>522489</v>
      </c>
      <c r="Q275">
        <v>75.621147307915805</v>
      </c>
      <c r="R275" t="b">
        <v>0</v>
      </c>
      <c r="S275">
        <v>76.086956521739097</v>
      </c>
      <c r="T275">
        <v>5.76</v>
      </c>
      <c r="U275" s="2" t="s">
        <v>100</v>
      </c>
      <c r="V275" t="b">
        <v>1</v>
      </c>
      <c r="W275" t="b">
        <v>1</v>
      </c>
      <c r="X275">
        <v>63.253012048192701</v>
      </c>
    </row>
    <row r="276" spans="3:24" x14ac:dyDescent="0.35">
      <c r="C276" s="2" t="s">
        <v>26</v>
      </c>
      <c r="D276" s="3">
        <v>44196</v>
      </c>
      <c r="E276">
        <v>47.224540497104101</v>
      </c>
      <c r="F276">
        <v>80.432980682874799</v>
      </c>
      <c r="G276">
        <v>40.634513634513603</v>
      </c>
      <c r="H276">
        <v>58.971177631532598</v>
      </c>
      <c r="I276">
        <v>1002545</v>
      </c>
      <c r="J276">
        <v>57.142857142857103</v>
      </c>
      <c r="K276">
        <v>12</v>
      </c>
      <c r="L276" t="b">
        <v>1</v>
      </c>
      <c r="M276">
        <v>154682703</v>
      </c>
      <c r="N276" s="2" t="s">
        <v>100</v>
      </c>
      <c r="O276" t="b">
        <v>1</v>
      </c>
      <c r="P276">
        <v>368512</v>
      </c>
      <c r="Q276">
        <v>78.200069035947806</v>
      </c>
      <c r="R276" t="b">
        <v>0</v>
      </c>
      <c r="S276">
        <v>78.434065934065899</v>
      </c>
      <c r="T276">
        <v>6.18</v>
      </c>
      <c r="U276" s="2" t="s">
        <v>100</v>
      </c>
      <c r="V276" t="b">
        <v>1</v>
      </c>
      <c r="W276" t="b">
        <v>1</v>
      </c>
      <c r="X276">
        <v>64.013452914798194</v>
      </c>
    </row>
    <row r="277" spans="3:24" x14ac:dyDescent="0.35">
      <c r="C277" s="2" t="s">
        <v>26</v>
      </c>
      <c r="D277" s="3">
        <v>43830</v>
      </c>
      <c r="E277">
        <v>48.408933770417597</v>
      </c>
      <c r="F277">
        <v>75.202293373594799</v>
      </c>
      <c r="G277">
        <v>34.971938333621999</v>
      </c>
      <c r="H277">
        <v>55.892401579850102</v>
      </c>
      <c r="I277">
        <v>861726</v>
      </c>
      <c r="J277">
        <v>57.142857142857103</v>
      </c>
      <c r="K277">
        <v>13</v>
      </c>
      <c r="L277" t="b">
        <v>1</v>
      </c>
      <c r="M277">
        <v>191648950</v>
      </c>
      <c r="N277" s="2" t="s">
        <v>100</v>
      </c>
      <c r="O277" t="b">
        <v>1</v>
      </c>
      <c r="P277">
        <v>444042</v>
      </c>
      <c r="Q277">
        <v>80.269779293880703</v>
      </c>
      <c r="R277" s="2" t="s">
        <v>100</v>
      </c>
      <c r="S277">
        <v>22.1698113207547</v>
      </c>
      <c r="T277">
        <v>7.63</v>
      </c>
      <c r="U277" s="2" t="s">
        <v>100</v>
      </c>
      <c r="V277" t="b">
        <v>1</v>
      </c>
      <c r="W277" t="b">
        <v>1</v>
      </c>
      <c r="X277">
        <v>66.460396039603907</v>
      </c>
    </row>
    <row r="278" spans="3:24" x14ac:dyDescent="0.35">
      <c r="C278" s="2" t="s">
        <v>26</v>
      </c>
      <c r="D278" s="3">
        <v>43465</v>
      </c>
      <c r="E278">
        <v>51.123011095397899</v>
      </c>
      <c r="F278">
        <v>75.627300298545094</v>
      </c>
      <c r="G278">
        <v>31.229322495076101</v>
      </c>
      <c r="H278">
        <v>56.099684174348099</v>
      </c>
      <c r="I278">
        <v>808601</v>
      </c>
      <c r="J278">
        <v>61.538461538461497</v>
      </c>
      <c r="K278">
        <v>12</v>
      </c>
      <c r="L278" t="b">
        <v>1</v>
      </c>
      <c r="M278" s="2" t="s">
        <v>100</v>
      </c>
      <c r="N278" s="2" t="s">
        <v>100</v>
      </c>
      <c r="O278" t="b">
        <v>1</v>
      </c>
      <c r="P278">
        <v>483066</v>
      </c>
      <c r="Q278">
        <v>82.220517481419506</v>
      </c>
      <c r="R278" s="2" t="s">
        <v>100</v>
      </c>
      <c r="S278">
        <v>0</v>
      </c>
      <c r="T278">
        <v>8.64</v>
      </c>
      <c r="U278" s="2" t="s">
        <v>100</v>
      </c>
      <c r="V278" t="b">
        <v>1</v>
      </c>
      <c r="W278" t="b">
        <v>1</v>
      </c>
      <c r="X278">
        <v>0</v>
      </c>
    </row>
    <row r="279" spans="3:24" x14ac:dyDescent="0.35">
      <c r="C279" s="2" t="s">
        <v>26</v>
      </c>
      <c r="D279" s="3">
        <v>43100</v>
      </c>
      <c r="E279">
        <v>61.114736231227603</v>
      </c>
      <c r="F279">
        <v>78.171907222856703</v>
      </c>
      <c r="G279">
        <v>24.979560895778199</v>
      </c>
      <c r="H279">
        <v>59.105914788048501</v>
      </c>
      <c r="I279">
        <v>947419</v>
      </c>
      <c r="J279">
        <v>50</v>
      </c>
      <c r="K279">
        <v>12</v>
      </c>
      <c r="L279" t="b">
        <v>1</v>
      </c>
      <c r="M279" s="2" t="s">
        <v>100</v>
      </c>
      <c r="N279" s="2" t="s">
        <v>100</v>
      </c>
      <c r="O279" t="b">
        <v>1</v>
      </c>
      <c r="P279">
        <v>419079</v>
      </c>
      <c r="Q279">
        <v>85.960763534790999</v>
      </c>
      <c r="R279" s="2" t="s">
        <v>100</v>
      </c>
      <c r="S279">
        <v>0</v>
      </c>
      <c r="T279">
        <v>8.14</v>
      </c>
      <c r="U279" s="2" t="s">
        <v>100</v>
      </c>
      <c r="V279" t="b">
        <v>1</v>
      </c>
      <c r="W279" t="b">
        <v>1</v>
      </c>
      <c r="X279">
        <v>0</v>
      </c>
    </row>
    <row r="280" spans="3:24" x14ac:dyDescent="0.35">
      <c r="C280" s="2" t="s">
        <v>26</v>
      </c>
      <c r="D280" s="3">
        <v>42735</v>
      </c>
      <c r="E280">
        <v>70.366353540396602</v>
      </c>
      <c r="F280">
        <v>87.458360686973293</v>
      </c>
      <c r="G280">
        <v>96.492063492063494</v>
      </c>
      <c r="H280">
        <v>83.660719024080294</v>
      </c>
      <c r="I280">
        <v>911345</v>
      </c>
      <c r="J280">
        <v>46.153846153846096</v>
      </c>
      <c r="K280">
        <v>11</v>
      </c>
      <c r="L280" t="b">
        <v>1</v>
      </c>
      <c r="M280" s="2" t="s">
        <v>100</v>
      </c>
      <c r="N280" s="2" t="s">
        <v>100</v>
      </c>
      <c r="O280" t="b">
        <v>1</v>
      </c>
      <c r="P280">
        <v>382077</v>
      </c>
      <c r="Q280">
        <v>86.761782529177495</v>
      </c>
      <c r="R280" s="2" t="s">
        <v>100</v>
      </c>
      <c r="S280">
        <v>72.330097087378604</v>
      </c>
      <c r="T280">
        <v>5.99</v>
      </c>
      <c r="U280" s="2" t="s">
        <v>100</v>
      </c>
      <c r="V280" t="b">
        <v>1</v>
      </c>
      <c r="W280" t="b">
        <v>1</v>
      </c>
      <c r="X280">
        <v>75.081433224755699</v>
      </c>
    </row>
    <row r="281" spans="3:24" x14ac:dyDescent="0.35">
      <c r="C281" s="2" t="s">
        <v>27</v>
      </c>
      <c r="D281" s="3">
        <v>45745</v>
      </c>
      <c r="E281">
        <v>92.338907594025997</v>
      </c>
      <c r="F281">
        <v>81.864551179578996</v>
      </c>
      <c r="G281">
        <v>87.192144858674396</v>
      </c>
      <c r="H281">
        <v>85.910634029658496</v>
      </c>
      <c r="I281">
        <v>17885</v>
      </c>
      <c r="J281">
        <v>76.923076923076906</v>
      </c>
      <c r="K281">
        <v>11</v>
      </c>
      <c r="L281" t="b">
        <v>1</v>
      </c>
      <c r="M281" s="2" t="s">
        <v>100</v>
      </c>
      <c r="N281" s="2" t="s">
        <v>100</v>
      </c>
      <c r="O281" t="b">
        <v>1</v>
      </c>
      <c r="P281" s="2" t="s">
        <v>100</v>
      </c>
      <c r="Q281">
        <v>69.909916611739803</v>
      </c>
      <c r="R281" t="b">
        <v>1</v>
      </c>
      <c r="S281">
        <v>77.797833935018005</v>
      </c>
      <c r="T281" s="2" t="s">
        <v>100</v>
      </c>
      <c r="U281">
        <v>69</v>
      </c>
      <c r="V281" t="b">
        <v>1</v>
      </c>
      <c r="W281" t="b">
        <v>1</v>
      </c>
      <c r="X281">
        <v>51.9366197183098</v>
      </c>
    </row>
    <row r="282" spans="3:24" x14ac:dyDescent="0.35">
      <c r="C282" s="2" t="s">
        <v>27</v>
      </c>
      <c r="D282" s="3">
        <v>45381</v>
      </c>
      <c r="E282">
        <v>91.0702884994584</v>
      </c>
      <c r="F282">
        <v>85.236091906932202</v>
      </c>
      <c r="G282">
        <v>79.053865957460701</v>
      </c>
      <c r="H282">
        <v>83.985617486554503</v>
      </c>
      <c r="I282">
        <v>18975</v>
      </c>
      <c r="J282">
        <v>78.571428571428498</v>
      </c>
      <c r="K282">
        <v>12</v>
      </c>
      <c r="L282" t="b">
        <v>1</v>
      </c>
      <c r="M282" s="2" t="s">
        <v>100</v>
      </c>
      <c r="N282" s="2" t="s">
        <v>100</v>
      </c>
      <c r="O282" t="b">
        <v>1</v>
      </c>
      <c r="P282" s="2" t="s">
        <v>100</v>
      </c>
      <c r="Q282">
        <v>70.2374273937494</v>
      </c>
      <c r="R282" t="b">
        <v>1</v>
      </c>
      <c r="S282">
        <v>78.079710144927503</v>
      </c>
      <c r="T282">
        <v>0.7</v>
      </c>
      <c r="U282">
        <v>74</v>
      </c>
      <c r="V282" t="b">
        <v>1</v>
      </c>
      <c r="W282" t="b">
        <v>1</v>
      </c>
      <c r="X282">
        <v>51.943462897526501</v>
      </c>
    </row>
    <row r="283" spans="3:24" x14ac:dyDescent="0.35">
      <c r="C283" s="2" t="s">
        <v>27</v>
      </c>
      <c r="D283" s="3">
        <v>45017</v>
      </c>
      <c r="E283">
        <v>92.240458938403904</v>
      </c>
      <c r="F283">
        <v>68.237133174577394</v>
      </c>
      <c r="G283">
        <v>81.199416105749705</v>
      </c>
      <c r="H283">
        <v>77.797793273205897</v>
      </c>
      <c r="I283">
        <v>19359</v>
      </c>
      <c r="J283">
        <v>84.615384615384599</v>
      </c>
      <c r="K283">
        <v>13</v>
      </c>
      <c r="L283" t="b">
        <v>1</v>
      </c>
      <c r="M283" s="2" t="s">
        <v>100</v>
      </c>
      <c r="N283" s="2" t="s">
        <v>100</v>
      </c>
      <c r="O283" t="b">
        <v>1</v>
      </c>
      <c r="P283" s="2" t="s">
        <v>100</v>
      </c>
      <c r="Q283">
        <v>71.154811864450707</v>
      </c>
      <c r="R283" t="b">
        <v>0</v>
      </c>
      <c r="S283">
        <v>24.907063197026002</v>
      </c>
      <c r="T283">
        <v>1</v>
      </c>
      <c r="U283">
        <v>75</v>
      </c>
      <c r="V283" t="b">
        <v>1</v>
      </c>
      <c r="W283" t="b">
        <v>1</v>
      </c>
      <c r="X283">
        <v>52.707581227436798</v>
      </c>
    </row>
    <row r="284" spans="3:24" x14ac:dyDescent="0.35">
      <c r="C284" s="2" t="s">
        <v>27</v>
      </c>
      <c r="D284" s="3">
        <v>44653</v>
      </c>
      <c r="E284">
        <v>90.792341284256693</v>
      </c>
      <c r="F284">
        <v>70.018586656514998</v>
      </c>
      <c r="G284">
        <v>84.810748248248203</v>
      </c>
      <c r="H284">
        <v>79.6616228331293</v>
      </c>
      <c r="I284">
        <v>27701</v>
      </c>
      <c r="J284">
        <v>76.923076923076906</v>
      </c>
      <c r="K284">
        <v>12</v>
      </c>
      <c r="L284" t="b">
        <v>1</v>
      </c>
      <c r="M284" s="2" t="s">
        <v>100</v>
      </c>
      <c r="N284" s="2" t="s">
        <v>100</v>
      </c>
      <c r="O284" t="b">
        <v>1</v>
      </c>
      <c r="P284" s="2" t="s">
        <v>100</v>
      </c>
      <c r="Q284">
        <v>73.521960578472303</v>
      </c>
      <c r="R284" t="b">
        <v>0</v>
      </c>
      <c r="S284">
        <v>25.581395348837201</v>
      </c>
      <c r="T284">
        <v>0.4</v>
      </c>
      <c r="U284">
        <v>74.5</v>
      </c>
      <c r="V284" t="b">
        <v>1</v>
      </c>
      <c r="W284" t="b">
        <v>1</v>
      </c>
      <c r="X284">
        <v>53.874538745387397</v>
      </c>
    </row>
    <row r="285" spans="3:24" x14ac:dyDescent="0.35">
      <c r="C285" s="2" t="s">
        <v>27</v>
      </c>
      <c r="D285" s="3">
        <v>44282</v>
      </c>
      <c r="E285">
        <v>88.638716792611802</v>
      </c>
      <c r="F285">
        <v>67.647387756609007</v>
      </c>
      <c r="G285">
        <v>94.077524794402095</v>
      </c>
      <c r="H285">
        <v>81.789184097126096</v>
      </c>
      <c r="I285">
        <v>22718</v>
      </c>
      <c r="J285">
        <v>83.3333333333333</v>
      </c>
      <c r="K285">
        <v>11</v>
      </c>
      <c r="L285" t="b">
        <v>1</v>
      </c>
      <c r="M285" s="2" t="s">
        <v>100</v>
      </c>
      <c r="N285" s="2" t="s">
        <v>100</v>
      </c>
      <c r="O285" t="b">
        <v>1</v>
      </c>
      <c r="P285" s="2" t="s">
        <v>100</v>
      </c>
      <c r="Q285">
        <v>75.621147307915805</v>
      </c>
      <c r="R285" t="b">
        <v>0</v>
      </c>
      <c r="S285">
        <v>24.774774774774698</v>
      </c>
      <c r="T285" s="2" t="s">
        <v>100</v>
      </c>
      <c r="U285">
        <v>75</v>
      </c>
      <c r="V285" t="b">
        <v>1</v>
      </c>
      <c r="W285" t="b">
        <v>1</v>
      </c>
      <c r="X285">
        <v>56.0416666666666</v>
      </c>
    </row>
    <row r="286" spans="3:24" x14ac:dyDescent="0.35">
      <c r="C286" s="2" t="s">
        <v>27</v>
      </c>
      <c r="D286" s="3">
        <v>43918</v>
      </c>
      <c r="E286">
        <v>68.925897170462306</v>
      </c>
      <c r="F286">
        <v>57.676175443144203</v>
      </c>
      <c r="G286">
        <v>90.112739112739106</v>
      </c>
      <c r="H286">
        <v>72.252891221837103</v>
      </c>
      <c r="I286">
        <v>24683</v>
      </c>
      <c r="J286">
        <v>84.615384615384599</v>
      </c>
      <c r="K286">
        <v>11</v>
      </c>
      <c r="L286" t="b">
        <v>1</v>
      </c>
      <c r="M286" s="2" t="s">
        <v>100</v>
      </c>
      <c r="N286" s="2" t="s">
        <v>100</v>
      </c>
      <c r="O286" t="b">
        <v>1</v>
      </c>
      <c r="P286" s="2" t="s">
        <v>100</v>
      </c>
      <c r="Q286">
        <v>78.200069035947806</v>
      </c>
      <c r="R286" t="b">
        <v>0</v>
      </c>
      <c r="S286">
        <v>25.2604166666666</v>
      </c>
      <c r="T286" s="2" t="s">
        <v>100</v>
      </c>
      <c r="U286">
        <v>75</v>
      </c>
      <c r="V286" t="b">
        <v>1</v>
      </c>
      <c r="W286" t="b">
        <v>1</v>
      </c>
      <c r="X286">
        <v>57.674418604651102</v>
      </c>
    </row>
    <row r="287" spans="3:24" x14ac:dyDescent="0.35">
      <c r="C287" s="2" t="s">
        <v>27</v>
      </c>
      <c r="D287" s="3">
        <v>43554</v>
      </c>
      <c r="E287">
        <v>59.240196078431303</v>
      </c>
      <c r="F287">
        <v>56.019759336172903</v>
      </c>
      <c r="G287">
        <v>72.375656793117301</v>
      </c>
      <c r="H287">
        <v>62.900399440541499</v>
      </c>
      <c r="I287">
        <v>27538</v>
      </c>
      <c r="J287">
        <v>69.230769230769198</v>
      </c>
      <c r="K287">
        <v>11</v>
      </c>
      <c r="L287" t="b">
        <v>1</v>
      </c>
      <c r="M287" s="2" t="s">
        <v>100</v>
      </c>
      <c r="N287" s="2" t="s">
        <v>100</v>
      </c>
      <c r="O287" t="b">
        <v>1</v>
      </c>
      <c r="P287" s="2" t="s">
        <v>100</v>
      </c>
      <c r="Q287">
        <v>80.269779293880703</v>
      </c>
      <c r="R287" s="2" t="s">
        <v>100</v>
      </c>
      <c r="S287">
        <v>27.688172043010699</v>
      </c>
      <c r="T287" s="2" t="s">
        <v>100</v>
      </c>
      <c r="U287">
        <v>74</v>
      </c>
      <c r="V287" t="b">
        <v>0</v>
      </c>
      <c r="W287" t="b">
        <v>1</v>
      </c>
      <c r="X287">
        <v>56.8965517241379</v>
      </c>
    </row>
    <row r="288" spans="3:24" x14ac:dyDescent="0.35">
      <c r="C288" s="2" t="s">
        <v>27</v>
      </c>
      <c r="D288" s="3">
        <v>43190</v>
      </c>
      <c r="E288">
        <v>58.482819102288097</v>
      </c>
      <c r="F288">
        <v>57.417489177489102</v>
      </c>
      <c r="G288">
        <v>69.022735293782802</v>
      </c>
      <c r="H288">
        <v>62.066050867201298</v>
      </c>
      <c r="I288">
        <v>31412.498</v>
      </c>
      <c r="J288">
        <v>69.230769230769198</v>
      </c>
      <c r="K288">
        <v>12</v>
      </c>
      <c r="L288" t="b">
        <v>1</v>
      </c>
      <c r="M288" s="2" t="s">
        <v>100</v>
      </c>
      <c r="N288" s="2" t="s">
        <v>100</v>
      </c>
      <c r="O288" t="b">
        <v>1</v>
      </c>
      <c r="P288" s="2" t="s">
        <v>100</v>
      </c>
      <c r="Q288">
        <v>82.220517481419506</v>
      </c>
      <c r="R288" s="2" t="s">
        <v>100</v>
      </c>
      <c r="S288">
        <v>30.3333333333333</v>
      </c>
      <c r="T288" s="2" t="s">
        <v>100</v>
      </c>
      <c r="U288">
        <v>74</v>
      </c>
      <c r="V288" t="b">
        <v>0</v>
      </c>
      <c r="W288" t="b">
        <v>1</v>
      </c>
      <c r="X288">
        <v>59.428571428571402</v>
      </c>
    </row>
    <row r="289" spans="3:24" x14ac:dyDescent="0.35">
      <c r="C289" s="2" t="s">
        <v>27</v>
      </c>
      <c r="D289" s="3">
        <v>42825</v>
      </c>
      <c r="E289">
        <v>56.156565656565597</v>
      </c>
      <c r="F289">
        <v>55.959134615384599</v>
      </c>
      <c r="G289">
        <v>60.606182976623103</v>
      </c>
      <c r="H289">
        <v>57.776661208425502</v>
      </c>
      <c r="I289">
        <v>39179.733999999997</v>
      </c>
      <c r="J289">
        <v>50</v>
      </c>
      <c r="K289">
        <v>11</v>
      </c>
      <c r="L289" t="b">
        <v>1</v>
      </c>
      <c r="M289" s="2" t="s">
        <v>100</v>
      </c>
      <c r="N289" s="2" t="s">
        <v>100</v>
      </c>
      <c r="O289" t="b">
        <v>1</v>
      </c>
      <c r="P289" s="2" t="s">
        <v>100</v>
      </c>
      <c r="Q289">
        <v>85.960763534790999</v>
      </c>
      <c r="R289" s="2" t="s">
        <v>100</v>
      </c>
      <c r="S289">
        <v>30.769230769230699</v>
      </c>
      <c r="T289" s="2" t="s">
        <v>100</v>
      </c>
      <c r="U289">
        <v>68</v>
      </c>
      <c r="V289" t="b">
        <v>0</v>
      </c>
      <c r="W289" t="b">
        <v>1</v>
      </c>
      <c r="X289">
        <v>62.1875</v>
      </c>
    </row>
    <row r="290" spans="3:24" x14ac:dyDescent="0.35">
      <c r="C290" s="2" t="s">
        <v>27</v>
      </c>
      <c r="D290" s="3">
        <v>42460</v>
      </c>
      <c r="E290">
        <v>55.2916666666666</v>
      </c>
      <c r="F290">
        <v>48.325331125827802</v>
      </c>
      <c r="G290">
        <v>41.5495115085278</v>
      </c>
      <c r="H290">
        <v>47.064315524894802</v>
      </c>
      <c r="I290">
        <v>41455.231</v>
      </c>
      <c r="J290">
        <v>58.3333333333333</v>
      </c>
      <c r="K290">
        <v>11</v>
      </c>
      <c r="L290" t="b">
        <v>1</v>
      </c>
      <c r="M290" s="2" t="s">
        <v>100</v>
      </c>
      <c r="N290" s="2" t="s">
        <v>100</v>
      </c>
      <c r="O290" t="b">
        <v>1</v>
      </c>
      <c r="P290" s="2" t="s">
        <v>100</v>
      </c>
      <c r="Q290">
        <v>86.761782529177495</v>
      </c>
      <c r="R290" s="2" t="s">
        <v>100</v>
      </c>
      <c r="S290">
        <v>0</v>
      </c>
      <c r="T290" s="2" t="s">
        <v>100</v>
      </c>
      <c r="U290" s="2" t="s">
        <v>100</v>
      </c>
      <c r="V290" t="b">
        <v>0</v>
      </c>
      <c r="W290" t="b">
        <v>1</v>
      </c>
      <c r="X290">
        <v>0</v>
      </c>
    </row>
    <row r="291" spans="3:24" x14ac:dyDescent="0.35">
      <c r="C291" s="2" t="s">
        <v>27</v>
      </c>
      <c r="D291" s="3">
        <v>43555</v>
      </c>
      <c r="E291" s="2" t="s">
        <v>100</v>
      </c>
      <c r="F291" s="2" t="s">
        <v>100</v>
      </c>
      <c r="G291" s="2" t="s">
        <v>100</v>
      </c>
      <c r="H291" s="2" t="s">
        <v>100</v>
      </c>
      <c r="I291" s="2" t="s">
        <v>100</v>
      </c>
      <c r="J291" s="2" t="s">
        <v>100</v>
      </c>
      <c r="K291" s="2" t="s">
        <v>100</v>
      </c>
      <c r="L291" s="2" t="s">
        <v>100</v>
      </c>
      <c r="M291" s="2" t="s">
        <v>100</v>
      </c>
      <c r="N291" s="2" t="s">
        <v>100</v>
      </c>
      <c r="O291" s="2" t="s">
        <v>100</v>
      </c>
      <c r="P291" s="2" t="s">
        <v>100</v>
      </c>
      <c r="Q291" s="2" t="s">
        <v>100</v>
      </c>
      <c r="R291" s="2" t="s">
        <v>100</v>
      </c>
      <c r="S291" s="2" t="s">
        <v>100</v>
      </c>
      <c r="T291" s="2" t="s">
        <v>100</v>
      </c>
      <c r="U291" s="2" t="s">
        <v>100</v>
      </c>
      <c r="V291" s="2" t="s">
        <v>100</v>
      </c>
      <c r="W291" s="2" t="s">
        <v>100</v>
      </c>
      <c r="X291" s="2" t="s">
        <v>100</v>
      </c>
    </row>
    <row r="292" spans="3:24" x14ac:dyDescent="0.35">
      <c r="C292" s="2" t="s">
        <v>27</v>
      </c>
      <c r="D292" s="3">
        <v>45747</v>
      </c>
      <c r="E292" s="2" t="s">
        <v>100</v>
      </c>
      <c r="F292" s="2" t="s">
        <v>100</v>
      </c>
      <c r="G292" s="2" t="s">
        <v>100</v>
      </c>
      <c r="H292" s="2" t="s">
        <v>100</v>
      </c>
      <c r="I292" s="2" t="s">
        <v>100</v>
      </c>
      <c r="J292" s="2" t="s">
        <v>100</v>
      </c>
      <c r="K292" s="2" t="s">
        <v>100</v>
      </c>
      <c r="L292" s="2" t="s">
        <v>100</v>
      </c>
      <c r="M292" s="2" t="s">
        <v>100</v>
      </c>
      <c r="N292" s="2" t="s">
        <v>100</v>
      </c>
      <c r="O292" s="2" t="s">
        <v>100</v>
      </c>
      <c r="P292" s="2" t="s">
        <v>100</v>
      </c>
      <c r="Q292" s="2" t="s">
        <v>100</v>
      </c>
      <c r="R292" s="2" t="s">
        <v>100</v>
      </c>
      <c r="S292" s="2" t="s">
        <v>100</v>
      </c>
      <c r="T292" s="2" t="s">
        <v>100</v>
      </c>
      <c r="U292" s="2" t="s">
        <v>100</v>
      </c>
      <c r="V292" s="2" t="s">
        <v>100</v>
      </c>
      <c r="W292" s="2" t="s">
        <v>100</v>
      </c>
      <c r="X292" s="2" t="s">
        <v>100</v>
      </c>
    </row>
    <row r="293" spans="3:24" x14ac:dyDescent="0.35">
      <c r="C293" s="2" t="s">
        <v>27</v>
      </c>
      <c r="D293" s="3">
        <v>44316</v>
      </c>
      <c r="E293" s="2" t="s">
        <v>100</v>
      </c>
      <c r="F293" s="2" t="s">
        <v>100</v>
      </c>
      <c r="G293" s="2" t="s">
        <v>100</v>
      </c>
      <c r="H293" s="2" t="s">
        <v>100</v>
      </c>
      <c r="I293" s="2" t="s">
        <v>100</v>
      </c>
      <c r="J293" s="2" t="s">
        <v>100</v>
      </c>
      <c r="K293" s="2" t="s">
        <v>100</v>
      </c>
      <c r="L293" s="2" t="s">
        <v>100</v>
      </c>
      <c r="M293" s="2" t="s">
        <v>100</v>
      </c>
      <c r="N293" s="2" t="s">
        <v>100</v>
      </c>
      <c r="O293" s="2" t="s">
        <v>100</v>
      </c>
      <c r="P293" s="2" t="s">
        <v>100</v>
      </c>
      <c r="Q293" s="2" t="s">
        <v>100</v>
      </c>
      <c r="R293" s="2" t="s">
        <v>100</v>
      </c>
      <c r="S293" s="2" t="s">
        <v>100</v>
      </c>
      <c r="T293" s="2" t="s">
        <v>100</v>
      </c>
      <c r="U293" s="2" t="s">
        <v>100</v>
      </c>
      <c r="V293" s="2" t="s">
        <v>100</v>
      </c>
      <c r="W293" s="2" t="s">
        <v>100</v>
      </c>
      <c r="X293" s="2" t="s">
        <v>100</v>
      </c>
    </row>
    <row r="294" spans="3:24" x14ac:dyDescent="0.35">
      <c r="C294" s="2" t="s">
        <v>27</v>
      </c>
      <c r="D294" s="3">
        <v>43951</v>
      </c>
      <c r="E294" s="2" t="s">
        <v>100</v>
      </c>
      <c r="F294" s="2" t="s">
        <v>100</v>
      </c>
      <c r="G294" s="2" t="s">
        <v>100</v>
      </c>
      <c r="H294" s="2" t="s">
        <v>100</v>
      </c>
      <c r="I294" s="2" t="s">
        <v>100</v>
      </c>
      <c r="J294" s="2" t="s">
        <v>100</v>
      </c>
      <c r="K294" s="2" t="s">
        <v>100</v>
      </c>
      <c r="L294" s="2" t="s">
        <v>100</v>
      </c>
      <c r="M294" s="2" t="s">
        <v>100</v>
      </c>
      <c r="N294" s="2" t="s">
        <v>100</v>
      </c>
      <c r="O294" s="2" t="s">
        <v>100</v>
      </c>
      <c r="P294" s="2" t="s">
        <v>100</v>
      </c>
      <c r="Q294" s="2" t="s">
        <v>100</v>
      </c>
      <c r="R294" s="2" t="s">
        <v>100</v>
      </c>
      <c r="S294" s="2" t="s">
        <v>100</v>
      </c>
      <c r="T294" s="2" t="s">
        <v>100</v>
      </c>
      <c r="U294" s="2" t="s">
        <v>100</v>
      </c>
      <c r="V294" s="2" t="s">
        <v>100</v>
      </c>
      <c r="W294" s="2" t="s">
        <v>100</v>
      </c>
      <c r="X294" s="2" t="s">
        <v>100</v>
      </c>
    </row>
    <row r="295" spans="3:24" x14ac:dyDescent="0.35">
      <c r="C295" s="2" t="s">
        <v>27</v>
      </c>
      <c r="D295" s="3">
        <v>43585</v>
      </c>
      <c r="E295" s="2" t="s">
        <v>100</v>
      </c>
      <c r="F295" s="2" t="s">
        <v>100</v>
      </c>
      <c r="G295" s="2" t="s">
        <v>100</v>
      </c>
      <c r="H295" s="2" t="s">
        <v>100</v>
      </c>
      <c r="I295" s="2" t="s">
        <v>100</v>
      </c>
      <c r="J295" s="2" t="s">
        <v>100</v>
      </c>
      <c r="K295" s="2" t="s">
        <v>100</v>
      </c>
      <c r="L295" s="2" t="s">
        <v>100</v>
      </c>
      <c r="M295" s="2" t="s">
        <v>100</v>
      </c>
      <c r="N295" s="2" t="s">
        <v>100</v>
      </c>
      <c r="O295" s="2" t="s">
        <v>100</v>
      </c>
      <c r="P295" s="2" t="s">
        <v>100</v>
      </c>
      <c r="Q295" s="2" t="s">
        <v>100</v>
      </c>
      <c r="R295" s="2" t="s">
        <v>100</v>
      </c>
      <c r="S295" s="2" t="s">
        <v>100</v>
      </c>
      <c r="T295" s="2" t="s">
        <v>100</v>
      </c>
      <c r="U295" s="2" t="s">
        <v>100</v>
      </c>
      <c r="V295" s="2" t="s">
        <v>100</v>
      </c>
      <c r="W295" s="2" t="s">
        <v>100</v>
      </c>
      <c r="X295" s="2" t="s">
        <v>100</v>
      </c>
    </row>
    <row r="296" spans="3:24" x14ac:dyDescent="0.35">
      <c r="C296" s="2" t="s">
        <v>27</v>
      </c>
      <c r="D296" s="3">
        <v>43220</v>
      </c>
      <c r="E296" s="2" t="s">
        <v>100</v>
      </c>
      <c r="F296" s="2" t="s">
        <v>100</v>
      </c>
      <c r="G296" s="2" t="s">
        <v>100</v>
      </c>
      <c r="H296" s="2" t="s">
        <v>100</v>
      </c>
      <c r="I296" s="2" t="s">
        <v>100</v>
      </c>
      <c r="J296" s="2" t="s">
        <v>100</v>
      </c>
      <c r="K296" s="2" t="s">
        <v>100</v>
      </c>
      <c r="L296" s="2" t="s">
        <v>100</v>
      </c>
      <c r="M296" s="2" t="s">
        <v>100</v>
      </c>
      <c r="N296" s="2" t="s">
        <v>100</v>
      </c>
      <c r="O296" s="2" t="s">
        <v>100</v>
      </c>
      <c r="P296" s="2" t="s">
        <v>100</v>
      </c>
      <c r="Q296" s="2" t="s">
        <v>100</v>
      </c>
      <c r="R296" s="2" t="s">
        <v>100</v>
      </c>
      <c r="S296" s="2" t="s">
        <v>100</v>
      </c>
      <c r="T296" s="2" t="s">
        <v>100</v>
      </c>
      <c r="U296" s="2" t="s">
        <v>100</v>
      </c>
      <c r="V296" s="2" t="s">
        <v>100</v>
      </c>
      <c r="W296" s="2" t="s">
        <v>100</v>
      </c>
      <c r="X296" s="2" t="s">
        <v>100</v>
      </c>
    </row>
    <row r="297" spans="3:24" x14ac:dyDescent="0.35">
      <c r="C297" s="2" t="s">
        <v>27</v>
      </c>
      <c r="D297" s="3">
        <v>42855</v>
      </c>
      <c r="E297" s="2" t="s">
        <v>100</v>
      </c>
      <c r="F297" s="2" t="s">
        <v>100</v>
      </c>
      <c r="G297" s="2" t="s">
        <v>100</v>
      </c>
      <c r="H297" s="2" t="s">
        <v>100</v>
      </c>
      <c r="I297" s="2" t="s">
        <v>100</v>
      </c>
      <c r="J297" s="2" t="s">
        <v>100</v>
      </c>
      <c r="K297" s="2" t="s">
        <v>100</v>
      </c>
      <c r="L297" s="2" t="s">
        <v>100</v>
      </c>
      <c r="M297" s="2" t="s">
        <v>100</v>
      </c>
      <c r="N297" s="2" t="s">
        <v>100</v>
      </c>
      <c r="O297" s="2" t="s">
        <v>100</v>
      </c>
      <c r="P297" s="2" t="s">
        <v>100</v>
      </c>
      <c r="Q297" s="2" t="s">
        <v>100</v>
      </c>
      <c r="R297" s="2" t="s">
        <v>100</v>
      </c>
      <c r="S297" s="2" t="s">
        <v>100</v>
      </c>
      <c r="T297" s="2" t="s">
        <v>100</v>
      </c>
      <c r="U297" s="2" t="s">
        <v>100</v>
      </c>
      <c r="V297" s="2" t="s">
        <v>100</v>
      </c>
      <c r="W297" s="2" t="s">
        <v>100</v>
      </c>
      <c r="X297" s="2" t="s">
        <v>100</v>
      </c>
    </row>
    <row r="298" spans="3:24" x14ac:dyDescent="0.35">
      <c r="C298" s="2" t="s">
        <v>27</v>
      </c>
      <c r="D298" s="3">
        <v>42490</v>
      </c>
      <c r="E298" s="2" t="s">
        <v>100</v>
      </c>
      <c r="F298" s="2" t="s">
        <v>100</v>
      </c>
      <c r="G298" s="2" t="s">
        <v>100</v>
      </c>
      <c r="H298" s="2" t="s">
        <v>100</v>
      </c>
      <c r="I298" s="2" t="s">
        <v>100</v>
      </c>
      <c r="J298" s="2" t="s">
        <v>100</v>
      </c>
      <c r="K298" s="2" t="s">
        <v>100</v>
      </c>
      <c r="L298" s="2" t="s">
        <v>100</v>
      </c>
      <c r="M298" s="2" t="s">
        <v>100</v>
      </c>
      <c r="N298" s="2" t="s">
        <v>100</v>
      </c>
      <c r="O298" s="2" t="s">
        <v>100</v>
      </c>
      <c r="P298" s="2" t="s">
        <v>100</v>
      </c>
      <c r="Q298" s="2" t="s">
        <v>100</v>
      </c>
      <c r="R298" s="2" t="s">
        <v>100</v>
      </c>
      <c r="S298" s="2" t="s">
        <v>100</v>
      </c>
      <c r="T298" s="2" t="s">
        <v>100</v>
      </c>
      <c r="U298" s="2" t="s">
        <v>100</v>
      </c>
      <c r="V298" s="2" t="s">
        <v>100</v>
      </c>
      <c r="W298" s="2" t="s">
        <v>100</v>
      </c>
      <c r="X298" s="2" t="s">
        <v>100</v>
      </c>
    </row>
    <row r="299" spans="3:24" x14ac:dyDescent="0.35">
      <c r="C299" s="2" t="s">
        <v>28</v>
      </c>
      <c r="D299" s="3">
        <v>46022</v>
      </c>
      <c r="E299">
        <v>55.207382022370297</v>
      </c>
      <c r="F299">
        <v>85.325791389729304</v>
      </c>
      <c r="G299">
        <v>93.581033747563296</v>
      </c>
      <c r="H299">
        <v>83.241953540531597</v>
      </c>
      <c r="I299">
        <v>71070</v>
      </c>
      <c r="J299">
        <v>86.6666666666666</v>
      </c>
      <c r="K299">
        <v>14</v>
      </c>
      <c r="L299" t="b">
        <v>1</v>
      </c>
      <c r="M299">
        <v>10635</v>
      </c>
      <c r="N299" s="2" t="s">
        <v>100</v>
      </c>
      <c r="O299" t="b">
        <v>1</v>
      </c>
      <c r="P299" s="2" t="s">
        <v>100</v>
      </c>
      <c r="Q299">
        <v>69.909916611739803</v>
      </c>
      <c r="R299" t="b">
        <v>0</v>
      </c>
      <c r="S299">
        <v>91.389728096676706</v>
      </c>
      <c r="T299">
        <v>0.4</v>
      </c>
      <c r="U299" s="2" t="s">
        <v>100</v>
      </c>
      <c r="V299" t="b">
        <v>1</v>
      </c>
      <c r="W299" t="b">
        <v>1</v>
      </c>
      <c r="X299">
        <v>52.245508982035901</v>
      </c>
    </row>
    <row r="300" spans="3:24" x14ac:dyDescent="0.35">
      <c r="C300" s="2" t="s">
        <v>28</v>
      </c>
      <c r="D300" s="3">
        <v>45657</v>
      </c>
      <c r="E300">
        <v>53.729800890455799</v>
      </c>
      <c r="F300">
        <v>86.076279423559299</v>
      </c>
      <c r="G300">
        <v>86.728763076802196</v>
      </c>
      <c r="H300">
        <v>80.887343017976505</v>
      </c>
      <c r="I300">
        <v>71895</v>
      </c>
      <c r="J300">
        <v>78.571428571428498</v>
      </c>
      <c r="K300">
        <v>12</v>
      </c>
      <c r="L300" t="b">
        <v>1</v>
      </c>
      <c r="M300">
        <v>13339</v>
      </c>
      <c r="N300" s="2" t="s">
        <v>100</v>
      </c>
      <c r="O300" t="b">
        <v>1</v>
      </c>
      <c r="P300" s="2" t="s">
        <v>100</v>
      </c>
      <c r="Q300">
        <v>70.2374273937494</v>
      </c>
      <c r="R300" t="b">
        <v>0</v>
      </c>
      <c r="S300">
        <v>92.1450151057401</v>
      </c>
      <c r="T300">
        <v>0.25</v>
      </c>
      <c r="U300" s="2" t="s">
        <v>100</v>
      </c>
      <c r="V300" t="b">
        <v>1</v>
      </c>
      <c r="W300" t="b">
        <v>1</v>
      </c>
      <c r="X300">
        <v>52.395209580838298</v>
      </c>
    </row>
    <row r="301" spans="3:24" x14ac:dyDescent="0.35">
      <c r="C301" s="2" t="s">
        <v>28</v>
      </c>
      <c r="D301" s="3">
        <v>45291</v>
      </c>
      <c r="E301">
        <v>48.978886341815198</v>
      </c>
      <c r="F301">
        <v>86.341280867745894</v>
      </c>
      <c r="G301">
        <v>94.275944097531905</v>
      </c>
      <c r="H301">
        <v>82.927704502842303</v>
      </c>
      <c r="I301">
        <v>74913</v>
      </c>
      <c r="J301">
        <v>84.615384615384599</v>
      </c>
      <c r="K301">
        <v>12</v>
      </c>
      <c r="L301" t="b">
        <v>1</v>
      </c>
      <c r="M301">
        <v>11729</v>
      </c>
      <c r="N301" s="2" t="s">
        <v>100</v>
      </c>
      <c r="O301" t="b">
        <v>1</v>
      </c>
      <c r="P301" s="2" t="s">
        <v>100</v>
      </c>
      <c r="Q301">
        <v>71.154811864450707</v>
      </c>
      <c r="R301" t="b">
        <v>0</v>
      </c>
      <c r="S301">
        <v>92.660550458715605</v>
      </c>
      <c r="T301">
        <v>0.2</v>
      </c>
      <c r="U301">
        <v>83</v>
      </c>
      <c r="V301" t="b">
        <v>1</v>
      </c>
      <c r="W301" t="b">
        <v>1</v>
      </c>
      <c r="X301">
        <v>53.603603603603602</v>
      </c>
    </row>
    <row r="302" spans="3:24" x14ac:dyDescent="0.35">
      <c r="C302" s="2" t="s">
        <v>28</v>
      </c>
      <c r="D302" s="3">
        <v>44926</v>
      </c>
      <c r="E302">
        <v>49.613636811217397</v>
      </c>
      <c r="F302">
        <v>86.487051138775897</v>
      </c>
      <c r="G302">
        <v>92.168105605605604</v>
      </c>
      <c r="H302">
        <v>82.345779682716795</v>
      </c>
      <c r="I302">
        <v>73985</v>
      </c>
      <c r="J302">
        <v>76.923076923076906</v>
      </c>
      <c r="K302">
        <v>11</v>
      </c>
      <c r="L302" t="b">
        <v>1</v>
      </c>
      <c r="M302">
        <v>12389</v>
      </c>
      <c r="N302" s="2" t="s">
        <v>100</v>
      </c>
      <c r="O302" t="b">
        <v>1</v>
      </c>
      <c r="P302" s="2" t="s">
        <v>100</v>
      </c>
      <c r="Q302">
        <v>73.521960578472303</v>
      </c>
      <c r="R302" t="b">
        <v>0</v>
      </c>
      <c r="S302">
        <v>92.705167173252207</v>
      </c>
      <c r="T302">
        <v>0.6</v>
      </c>
      <c r="U302">
        <v>73</v>
      </c>
      <c r="V302" t="b">
        <v>1</v>
      </c>
      <c r="W302" t="b">
        <v>1</v>
      </c>
      <c r="X302">
        <v>55.044510385756602</v>
      </c>
    </row>
    <row r="303" spans="3:24" x14ac:dyDescent="0.35">
      <c r="C303" s="2" t="s">
        <v>28</v>
      </c>
      <c r="D303" s="3">
        <v>44561</v>
      </c>
      <c r="E303">
        <v>48.067191347301303</v>
      </c>
      <c r="F303">
        <v>84.410833314895299</v>
      </c>
      <c r="G303">
        <v>95.716947698538803</v>
      </c>
      <c r="H303">
        <v>82.379365577925</v>
      </c>
      <c r="I303">
        <v>76222</v>
      </c>
      <c r="J303">
        <v>83.3333333333333</v>
      </c>
      <c r="K303">
        <v>11</v>
      </c>
      <c r="L303" t="b">
        <v>1</v>
      </c>
      <c r="M303">
        <v>11034</v>
      </c>
      <c r="N303" s="2" t="s">
        <v>100</v>
      </c>
      <c r="O303" t="b">
        <v>1</v>
      </c>
      <c r="P303" s="2" t="s">
        <v>100</v>
      </c>
      <c r="Q303">
        <v>75.621147307915805</v>
      </c>
      <c r="R303" s="2" t="s">
        <v>100</v>
      </c>
      <c r="S303">
        <v>92.760942760942697</v>
      </c>
      <c r="T303">
        <v>0.4</v>
      </c>
      <c r="U303" s="2" t="s">
        <v>100</v>
      </c>
      <c r="V303" t="b">
        <v>1</v>
      </c>
      <c r="W303" t="b">
        <v>1</v>
      </c>
      <c r="X303">
        <v>56.148867313915801</v>
      </c>
    </row>
    <row r="304" spans="3:24" x14ac:dyDescent="0.35">
      <c r="C304" s="2" t="s">
        <v>28</v>
      </c>
      <c r="D304" s="3">
        <v>44196</v>
      </c>
      <c r="E304">
        <v>46.801684205662497</v>
      </c>
      <c r="F304">
        <v>84.936623455869295</v>
      </c>
      <c r="G304">
        <v>90.457875457875403</v>
      </c>
      <c r="H304">
        <v>80.526424779908595</v>
      </c>
      <c r="I304">
        <v>72945</v>
      </c>
      <c r="J304">
        <v>76.923076923076906</v>
      </c>
      <c r="K304">
        <v>12</v>
      </c>
      <c r="L304" t="b">
        <v>1</v>
      </c>
      <c r="M304">
        <v>11233</v>
      </c>
      <c r="N304" s="2" t="s">
        <v>100</v>
      </c>
      <c r="O304" t="b">
        <v>1</v>
      </c>
      <c r="P304" s="2" t="s">
        <v>100</v>
      </c>
      <c r="Q304">
        <v>78.200069035947806</v>
      </c>
      <c r="R304" s="2" t="s">
        <v>100</v>
      </c>
      <c r="S304">
        <v>91.793893129770893</v>
      </c>
      <c r="T304">
        <v>1</v>
      </c>
      <c r="U304" s="2" t="s">
        <v>100</v>
      </c>
      <c r="V304" t="b">
        <v>1</v>
      </c>
      <c r="W304" t="b">
        <v>1</v>
      </c>
      <c r="X304">
        <v>57.017543859649102</v>
      </c>
    </row>
    <row r="305" spans="3:24" x14ac:dyDescent="0.35">
      <c r="C305" s="2" t="s">
        <v>28</v>
      </c>
      <c r="D305" s="3">
        <v>43830</v>
      </c>
      <c r="E305">
        <v>49.6446307447397</v>
      </c>
      <c r="F305">
        <v>90.741179587392296</v>
      </c>
      <c r="G305">
        <v>93.476644148045494</v>
      </c>
      <c r="H305">
        <v>84.833541899038394</v>
      </c>
      <c r="I305">
        <v>77212</v>
      </c>
      <c r="J305">
        <v>83.3333333333333</v>
      </c>
      <c r="K305">
        <v>9</v>
      </c>
      <c r="L305" t="b">
        <v>1</v>
      </c>
      <c r="M305">
        <v>11837</v>
      </c>
      <c r="N305" s="2" t="s">
        <v>100</v>
      </c>
      <c r="O305" t="b">
        <v>1</v>
      </c>
      <c r="P305" s="2" t="s">
        <v>100</v>
      </c>
      <c r="Q305">
        <v>80.269779293880703</v>
      </c>
      <c r="R305" s="2" t="s">
        <v>100</v>
      </c>
      <c r="S305">
        <v>91.741071428571402</v>
      </c>
      <c r="T305">
        <v>1.4</v>
      </c>
      <c r="U305" s="2" t="s">
        <v>100</v>
      </c>
      <c r="V305" t="b">
        <v>1</v>
      </c>
      <c r="W305" t="b">
        <v>1</v>
      </c>
      <c r="X305">
        <v>56.25</v>
      </c>
    </row>
    <row r="306" spans="3:24" x14ac:dyDescent="0.35">
      <c r="C306" s="2" t="s">
        <v>28</v>
      </c>
      <c r="D306" s="3">
        <v>43465</v>
      </c>
      <c r="E306">
        <v>46.174882465205002</v>
      </c>
      <c r="F306">
        <v>90.950084968375407</v>
      </c>
      <c r="G306">
        <v>83.179563661479094</v>
      </c>
      <c r="H306">
        <v>80.651061324647401</v>
      </c>
      <c r="I306">
        <v>77842</v>
      </c>
      <c r="J306">
        <v>78.571428571428498</v>
      </c>
      <c r="K306">
        <v>12</v>
      </c>
      <c r="L306" t="b">
        <v>1</v>
      </c>
      <c r="M306">
        <v>11034</v>
      </c>
      <c r="N306" s="2" t="s">
        <v>100</v>
      </c>
      <c r="O306" t="b">
        <v>1</v>
      </c>
      <c r="P306" s="2" t="s">
        <v>100</v>
      </c>
      <c r="Q306">
        <v>82.220517481419506</v>
      </c>
      <c r="R306" s="2" t="s">
        <v>100</v>
      </c>
      <c r="S306">
        <v>93.264248704663203</v>
      </c>
      <c r="T306">
        <v>0.95</v>
      </c>
      <c r="U306" s="2" t="s">
        <v>100</v>
      </c>
      <c r="V306" t="b">
        <v>1</v>
      </c>
      <c r="W306" t="b">
        <v>1</v>
      </c>
      <c r="X306">
        <v>56.490384615384599</v>
      </c>
    </row>
    <row r="307" spans="3:24" x14ac:dyDescent="0.35">
      <c r="C307" s="2" t="s">
        <v>28</v>
      </c>
      <c r="D307" s="3">
        <v>43100</v>
      </c>
      <c r="E307">
        <v>41.330836131921103</v>
      </c>
      <c r="F307">
        <v>77.200971520466098</v>
      </c>
      <c r="G307">
        <v>81.154768061626598</v>
      </c>
      <c r="H307">
        <v>72.607342787474195</v>
      </c>
      <c r="I307">
        <v>85558</v>
      </c>
      <c r="J307">
        <v>78.571428571428498</v>
      </c>
      <c r="K307">
        <v>12</v>
      </c>
      <c r="L307" t="b">
        <v>1</v>
      </c>
      <c r="M307">
        <v>10496</v>
      </c>
      <c r="N307" s="2" t="s">
        <v>100</v>
      </c>
      <c r="O307" t="b">
        <v>1</v>
      </c>
      <c r="P307" s="2" t="s">
        <v>100</v>
      </c>
      <c r="Q307">
        <v>85.960763534790999</v>
      </c>
      <c r="R307" s="2" t="s">
        <v>100</v>
      </c>
      <c r="S307">
        <v>72.455089820359206</v>
      </c>
      <c r="T307">
        <v>0.55000000000000004</v>
      </c>
      <c r="U307" s="2" t="s">
        <v>100</v>
      </c>
      <c r="V307" t="b">
        <v>1</v>
      </c>
      <c r="W307" t="b">
        <v>1</v>
      </c>
      <c r="X307">
        <v>0</v>
      </c>
    </row>
    <row r="308" spans="3:24" x14ac:dyDescent="0.35">
      <c r="C308" s="2" t="s">
        <v>28</v>
      </c>
      <c r="D308" s="3">
        <v>42735</v>
      </c>
      <c r="E308">
        <v>35.637403641134902</v>
      </c>
      <c r="F308">
        <v>69.305127114136795</v>
      </c>
      <c r="G308">
        <v>92.841668046586094</v>
      </c>
      <c r="H308">
        <v>72.116481597387605</v>
      </c>
      <c r="I308">
        <v>92237</v>
      </c>
      <c r="J308">
        <v>81.818181818181799</v>
      </c>
      <c r="K308">
        <v>11</v>
      </c>
      <c r="L308" t="b">
        <v>0</v>
      </c>
      <c r="M308">
        <v>10122</v>
      </c>
      <c r="N308" s="2" t="s">
        <v>100</v>
      </c>
      <c r="O308" t="b">
        <v>1</v>
      </c>
      <c r="P308" s="2" t="s">
        <v>100</v>
      </c>
      <c r="Q308">
        <v>86.761782529177495</v>
      </c>
      <c r="R308" s="2" t="s">
        <v>100</v>
      </c>
      <c r="S308">
        <v>70.8333333333333</v>
      </c>
      <c r="T308">
        <v>1.1499999999999999</v>
      </c>
      <c r="U308" s="2" t="s">
        <v>100</v>
      </c>
      <c r="V308" t="b">
        <v>1</v>
      </c>
      <c r="W308" t="b">
        <v>1</v>
      </c>
      <c r="X308">
        <v>0</v>
      </c>
    </row>
    <row r="309" spans="3:24" x14ac:dyDescent="0.35">
      <c r="C309" s="2" t="s">
        <v>29</v>
      </c>
      <c r="D309" s="3">
        <v>46022</v>
      </c>
      <c r="E309">
        <v>73.483899821109105</v>
      </c>
      <c r="F309">
        <v>85.053230576582095</v>
      </c>
      <c r="G309">
        <v>60.122974537037003</v>
      </c>
      <c r="H309">
        <v>74.859051283225796</v>
      </c>
      <c r="I309">
        <v>2314213</v>
      </c>
      <c r="J309">
        <v>58.3333333333333</v>
      </c>
      <c r="K309">
        <v>11</v>
      </c>
      <c r="L309" t="b">
        <v>1</v>
      </c>
      <c r="M309">
        <v>563013172</v>
      </c>
      <c r="N309" s="2" t="s">
        <v>100</v>
      </c>
      <c r="O309" t="b">
        <v>1</v>
      </c>
      <c r="P309">
        <v>849906</v>
      </c>
      <c r="Q309">
        <v>69.909916611739803</v>
      </c>
      <c r="R309" t="b">
        <v>0</v>
      </c>
      <c r="S309">
        <v>21.080139372822199</v>
      </c>
      <c r="T309">
        <v>0.57999999999999996</v>
      </c>
      <c r="U309" s="2" t="s">
        <v>100</v>
      </c>
      <c r="V309" t="b">
        <v>1</v>
      </c>
      <c r="W309" t="b">
        <v>1</v>
      </c>
      <c r="X309">
        <v>55.863192182410401</v>
      </c>
    </row>
    <row r="310" spans="3:24" x14ac:dyDescent="0.35">
      <c r="C310" s="2" t="s">
        <v>29</v>
      </c>
      <c r="D310" s="3">
        <v>45657</v>
      </c>
      <c r="E310">
        <v>76.642429526341402</v>
      </c>
      <c r="F310">
        <v>85.5749666789971</v>
      </c>
      <c r="G310">
        <v>50.090343611585403</v>
      </c>
      <c r="H310">
        <v>73.717085727401894</v>
      </c>
      <c r="I310">
        <v>2087353</v>
      </c>
      <c r="J310">
        <v>54.545454545454497</v>
      </c>
      <c r="K310">
        <v>11</v>
      </c>
      <c r="L310" t="b">
        <v>1</v>
      </c>
      <c r="M310">
        <v>454887774</v>
      </c>
      <c r="N310" s="2" t="s">
        <v>100</v>
      </c>
      <c r="O310" t="b">
        <v>1</v>
      </c>
      <c r="P310">
        <v>570246</v>
      </c>
      <c r="Q310">
        <v>70.2374273937494</v>
      </c>
      <c r="R310" t="b">
        <v>0</v>
      </c>
      <c r="S310">
        <v>20.855148342059302</v>
      </c>
      <c r="T310">
        <v>0.56999999999999995</v>
      </c>
      <c r="U310">
        <v>88</v>
      </c>
      <c r="V310" t="b">
        <v>1</v>
      </c>
      <c r="W310" t="b">
        <v>1</v>
      </c>
      <c r="X310">
        <v>56.574675324675297</v>
      </c>
    </row>
    <row r="311" spans="3:24" x14ac:dyDescent="0.35">
      <c r="C311" s="2" t="s">
        <v>29</v>
      </c>
      <c r="D311" s="3">
        <v>45291</v>
      </c>
      <c r="E311">
        <v>73.170347624705897</v>
      </c>
      <c r="F311">
        <v>82.250831734178604</v>
      </c>
      <c r="G311">
        <v>51.351967489344801</v>
      </c>
      <c r="H311">
        <v>71.466983897461006</v>
      </c>
      <c r="I311">
        <v>2070309</v>
      </c>
      <c r="J311">
        <v>63.636363636363598</v>
      </c>
      <c r="K311">
        <v>11</v>
      </c>
      <c r="L311" t="b">
        <v>1</v>
      </c>
      <c r="M311">
        <v>556067140</v>
      </c>
      <c r="N311" s="2" t="s">
        <v>100</v>
      </c>
      <c r="O311" t="b">
        <v>1</v>
      </c>
      <c r="P311">
        <v>410749</v>
      </c>
      <c r="Q311">
        <v>71.154811864450707</v>
      </c>
      <c r="R311" t="b">
        <v>0</v>
      </c>
      <c r="S311">
        <v>20.2752293577981</v>
      </c>
      <c r="T311">
        <v>0.61</v>
      </c>
      <c r="U311" s="2" t="s">
        <v>100</v>
      </c>
      <c r="V311" t="b">
        <v>1</v>
      </c>
      <c r="W311" t="b">
        <v>1</v>
      </c>
      <c r="X311">
        <v>59.380234505862603</v>
      </c>
    </row>
    <row r="312" spans="3:24" x14ac:dyDescent="0.35">
      <c r="C312" s="2" t="s">
        <v>29</v>
      </c>
      <c r="D312" s="3">
        <v>44926</v>
      </c>
      <c r="E312">
        <v>66.431163916181305</v>
      </c>
      <c r="F312">
        <v>84.134061395820197</v>
      </c>
      <c r="G312">
        <v>58.846096096096097</v>
      </c>
      <c r="H312">
        <v>71.693159207966005</v>
      </c>
      <c r="I312">
        <v>2166016</v>
      </c>
      <c r="J312">
        <v>60</v>
      </c>
      <c r="K312">
        <v>10</v>
      </c>
      <c r="L312" t="b">
        <v>1</v>
      </c>
      <c r="M312">
        <v>549047517</v>
      </c>
      <c r="N312" s="2" t="s">
        <v>100</v>
      </c>
      <c r="O312" t="b">
        <v>1</v>
      </c>
      <c r="P312">
        <v>326269</v>
      </c>
      <c r="Q312">
        <v>73.521960578472303</v>
      </c>
      <c r="R312" t="b">
        <v>0</v>
      </c>
      <c r="S312">
        <v>21.176470588235201</v>
      </c>
      <c r="T312">
        <v>0.84</v>
      </c>
      <c r="U312">
        <v>78</v>
      </c>
      <c r="V312" t="b">
        <v>1</v>
      </c>
      <c r="W312" t="b">
        <v>1</v>
      </c>
      <c r="X312">
        <v>62.155172413793103</v>
      </c>
    </row>
    <row r="313" spans="3:24" x14ac:dyDescent="0.35">
      <c r="C313" s="2" t="s">
        <v>29</v>
      </c>
      <c r="D313" s="3">
        <v>44561</v>
      </c>
      <c r="E313">
        <v>59.189954559275499</v>
      </c>
      <c r="F313">
        <v>80.120493399994899</v>
      </c>
      <c r="G313">
        <v>71.164309499142902</v>
      </c>
      <c r="H313">
        <v>70.5540648555762</v>
      </c>
      <c r="I313">
        <v>2391437</v>
      </c>
      <c r="J313">
        <v>58.3333333333333</v>
      </c>
      <c r="K313">
        <v>10</v>
      </c>
      <c r="L313" t="b">
        <v>1</v>
      </c>
      <c r="M313">
        <v>555035596</v>
      </c>
      <c r="N313" s="2" t="s">
        <v>100</v>
      </c>
      <c r="O313" t="b">
        <v>1</v>
      </c>
      <c r="P313">
        <v>304781</v>
      </c>
      <c r="Q313">
        <v>75.621147307915805</v>
      </c>
      <c r="R313" t="b">
        <v>0</v>
      </c>
      <c r="S313">
        <v>0</v>
      </c>
      <c r="T313">
        <v>1.33</v>
      </c>
      <c r="U313" s="2" t="s">
        <v>100</v>
      </c>
      <c r="V313" t="b">
        <v>1</v>
      </c>
      <c r="W313" t="b">
        <v>1</v>
      </c>
      <c r="X313">
        <v>0</v>
      </c>
    </row>
    <row r="314" spans="3:24" x14ac:dyDescent="0.35">
      <c r="C314" s="2" t="s">
        <v>29</v>
      </c>
      <c r="D314" s="3">
        <v>44196</v>
      </c>
      <c r="E314">
        <v>62.2179581754501</v>
      </c>
      <c r="F314">
        <v>78.756950982870904</v>
      </c>
      <c r="G314">
        <v>64.475783475783402</v>
      </c>
      <c r="H314">
        <v>69.428614972515803</v>
      </c>
      <c r="I314">
        <v>2435006</v>
      </c>
      <c r="J314">
        <v>63.636363636363598</v>
      </c>
      <c r="K314">
        <v>10</v>
      </c>
      <c r="L314" t="b">
        <v>1</v>
      </c>
      <c r="M314">
        <v>472041576</v>
      </c>
      <c r="N314" s="2" t="s">
        <v>100</v>
      </c>
      <c r="O314" t="b">
        <v>1</v>
      </c>
      <c r="P314">
        <v>194264</v>
      </c>
      <c r="Q314">
        <v>78.200069035947806</v>
      </c>
      <c r="R314" t="b">
        <v>0</v>
      </c>
      <c r="S314">
        <v>0</v>
      </c>
      <c r="T314">
        <v>0.86</v>
      </c>
      <c r="U314" s="2" t="s">
        <v>100</v>
      </c>
      <c r="V314" t="b">
        <v>1</v>
      </c>
      <c r="W314" t="b">
        <v>1</v>
      </c>
      <c r="X314">
        <v>0</v>
      </c>
    </row>
    <row r="315" spans="3:24" x14ac:dyDescent="0.35">
      <c r="C315" s="2" t="s">
        <v>29</v>
      </c>
      <c r="D315" s="3">
        <v>43830</v>
      </c>
      <c r="E315">
        <v>63.138375500491698</v>
      </c>
      <c r="F315">
        <v>82.438592006618805</v>
      </c>
      <c r="G315">
        <v>49.312951094173997</v>
      </c>
      <c r="H315">
        <v>67.510800433875502</v>
      </c>
      <c r="I315">
        <v>2482360</v>
      </c>
      <c r="J315">
        <v>46.153846153846096</v>
      </c>
      <c r="K315">
        <v>11</v>
      </c>
      <c r="L315" t="b">
        <v>1</v>
      </c>
      <c r="M315">
        <v>466045578</v>
      </c>
      <c r="N315" s="2" t="s">
        <v>100</v>
      </c>
      <c r="O315" t="b">
        <v>1</v>
      </c>
      <c r="P315">
        <v>287348</v>
      </c>
      <c r="Q315">
        <v>80.269779293880703</v>
      </c>
      <c r="R315" t="b">
        <v>0</v>
      </c>
      <c r="S315">
        <v>0</v>
      </c>
      <c r="T315">
        <v>1.01</v>
      </c>
      <c r="U315" s="2" t="s">
        <v>100</v>
      </c>
      <c r="V315" t="b">
        <v>1</v>
      </c>
      <c r="W315" t="b">
        <v>1</v>
      </c>
      <c r="X315">
        <v>0</v>
      </c>
    </row>
    <row r="316" spans="3:24" x14ac:dyDescent="0.35">
      <c r="C316" s="2" t="s">
        <v>29</v>
      </c>
      <c r="D316" s="3">
        <v>43465</v>
      </c>
      <c r="E316">
        <v>66.211411218391504</v>
      </c>
      <c r="F316">
        <v>83.060702800855097</v>
      </c>
      <c r="G316">
        <v>38.928887219129301</v>
      </c>
      <c r="H316">
        <v>66.292839181501506</v>
      </c>
      <c r="I316">
        <v>2517238</v>
      </c>
      <c r="J316">
        <v>45.454545454545404</v>
      </c>
      <c r="K316">
        <v>11</v>
      </c>
      <c r="L316" t="b">
        <v>1</v>
      </c>
      <c r="M316">
        <v>444038507</v>
      </c>
      <c r="N316" s="2" t="s">
        <v>100</v>
      </c>
      <c r="O316" t="b">
        <v>1</v>
      </c>
      <c r="P316">
        <v>284721</v>
      </c>
      <c r="Q316">
        <v>82.220517481419506</v>
      </c>
      <c r="R316" t="b">
        <v>0</v>
      </c>
      <c r="S316">
        <v>49.045801526717497</v>
      </c>
      <c r="T316">
        <v>1.57</v>
      </c>
      <c r="U316" s="2" t="s">
        <v>100</v>
      </c>
      <c r="V316" t="b">
        <v>1</v>
      </c>
      <c r="W316" t="b">
        <v>1</v>
      </c>
      <c r="X316">
        <v>0</v>
      </c>
    </row>
    <row r="317" spans="3:24" x14ac:dyDescent="0.35">
      <c r="C317" s="2" t="s">
        <v>29</v>
      </c>
      <c r="D317" s="3">
        <v>43100</v>
      </c>
      <c r="E317">
        <v>63.428569406502497</v>
      </c>
      <c r="F317">
        <v>54.837473936476599</v>
      </c>
      <c r="G317">
        <v>54.763267706215302</v>
      </c>
      <c r="H317">
        <v>57.843129475111901</v>
      </c>
      <c r="I317">
        <v>2926565</v>
      </c>
      <c r="J317">
        <v>54.545454545454497</v>
      </c>
      <c r="K317">
        <v>11</v>
      </c>
      <c r="L317" t="b">
        <v>1</v>
      </c>
      <c r="M317">
        <v>401043581</v>
      </c>
      <c r="N317" s="2" t="s">
        <v>100</v>
      </c>
      <c r="O317" t="b">
        <v>1</v>
      </c>
      <c r="P317">
        <v>152197</v>
      </c>
      <c r="Q317">
        <v>85.960763534790999</v>
      </c>
      <c r="R317" s="2" t="s">
        <v>100</v>
      </c>
      <c r="S317">
        <v>49.156118143459899</v>
      </c>
      <c r="T317">
        <v>1</v>
      </c>
      <c r="U317" s="2" t="s">
        <v>100</v>
      </c>
      <c r="V317" t="b">
        <v>1</v>
      </c>
      <c r="W317" t="b">
        <v>1</v>
      </c>
      <c r="X317">
        <v>0</v>
      </c>
    </row>
    <row r="318" spans="3:24" x14ac:dyDescent="0.35">
      <c r="C318" s="2" t="s">
        <v>29</v>
      </c>
      <c r="D318" s="3">
        <v>42735</v>
      </c>
      <c r="E318">
        <v>63.509601466756699</v>
      </c>
      <c r="F318">
        <v>58.955247135445902</v>
      </c>
      <c r="G318">
        <v>64.910443230115305</v>
      </c>
      <c r="H318">
        <v>62.020675122511001</v>
      </c>
      <c r="I318">
        <v>2796004</v>
      </c>
      <c r="J318">
        <v>50</v>
      </c>
      <c r="K318">
        <v>11</v>
      </c>
      <c r="L318" t="b">
        <v>1</v>
      </c>
      <c r="M318">
        <v>371047282</v>
      </c>
      <c r="N318" s="2" t="s">
        <v>100</v>
      </c>
      <c r="O318" t="b">
        <v>1</v>
      </c>
      <c r="P318">
        <v>152197</v>
      </c>
      <c r="Q318">
        <v>86.761782529177495</v>
      </c>
      <c r="R318" s="2" t="s">
        <v>100</v>
      </c>
      <c r="S318">
        <v>57.038834951456302</v>
      </c>
      <c r="T318">
        <v>1.5</v>
      </c>
      <c r="U318" s="2" t="s">
        <v>100</v>
      </c>
      <c r="V318" t="b">
        <v>1</v>
      </c>
      <c r="W318" t="b">
        <v>1</v>
      </c>
      <c r="X318">
        <v>0</v>
      </c>
    </row>
    <row r="319" spans="3:24" x14ac:dyDescent="0.35">
      <c r="C319" s="2" t="s">
        <v>30</v>
      </c>
      <c r="D319" s="3">
        <v>46022</v>
      </c>
      <c r="E319">
        <v>64.303563935301696</v>
      </c>
      <c r="F319">
        <v>75.205798454777593</v>
      </c>
      <c r="G319">
        <v>85.220440423976598</v>
      </c>
      <c r="H319">
        <v>77.758023973193801</v>
      </c>
      <c r="I319">
        <v>17221</v>
      </c>
      <c r="J319">
        <v>83.3333333333333</v>
      </c>
      <c r="K319">
        <v>11</v>
      </c>
      <c r="L319" t="b">
        <v>1</v>
      </c>
      <c r="M319">
        <v>449</v>
      </c>
      <c r="N319" s="2" t="s">
        <v>100</v>
      </c>
      <c r="O319" t="b">
        <v>1</v>
      </c>
      <c r="P319">
        <v>222937.16</v>
      </c>
      <c r="Q319">
        <v>69.909916611739803</v>
      </c>
      <c r="R319" t="b">
        <v>0</v>
      </c>
      <c r="S319">
        <v>76.237623762376202</v>
      </c>
      <c r="T319">
        <v>1.3530599999999999</v>
      </c>
      <c r="U319" s="2" t="s">
        <v>100</v>
      </c>
      <c r="V319" t="b">
        <v>1</v>
      </c>
      <c r="W319" t="b">
        <v>1</v>
      </c>
      <c r="X319">
        <v>51.132686084142399</v>
      </c>
    </row>
    <row r="320" spans="3:24" x14ac:dyDescent="0.35">
      <c r="C320" s="2" t="s">
        <v>30</v>
      </c>
      <c r="D320" s="3">
        <v>45657</v>
      </c>
      <c r="E320">
        <v>65.062724575899693</v>
      </c>
      <c r="F320">
        <v>74.769896416033205</v>
      </c>
      <c r="G320">
        <v>91.251095867108901</v>
      </c>
      <c r="H320">
        <v>80.068086617779102</v>
      </c>
      <c r="I320">
        <v>18529</v>
      </c>
      <c r="J320">
        <v>83.3333333333333</v>
      </c>
      <c r="K320">
        <v>11</v>
      </c>
      <c r="L320" t="b">
        <v>1</v>
      </c>
      <c r="M320">
        <v>385</v>
      </c>
      <c r="N320" s="2" t="s">
        <v>100</v>
      </c>
      <c r="O320" t="b">
        <v>1</v>
      </c>
      <c r="P320">
        <v>241648.8</v>
      </c>
      <c r="Q320">
        <v>70.2374273937494</v>
      </c>
      <c r="R320" t="b">
        <v>0</v>
      </c>
      <c r="S320">
        <v>75.581395348837205</v>
      </c>
      <c r="T320">
        <v>1.099</v>
      </c>
      <c r="U320" s="2" t="s">
        <v>100</v>
      </c>
      <c r="V320" t="b">
        <v>1</v>
      </c>
      <c r="W320" t="b">
        <v>1</v>
      </c>
      <c r="X320">
        <v>50.980392156862699</v>
      </c>
    </row>
    <row r="321" spans="3:24" x14ac:dyDescent="0.35">
      <c r="C321" s="2" t="s">
        <v>30</v>
      </c>
      <c r="D321" s="3">
        <v>45291</v>
      </c>
      <c r="E321">
        <v>75.986146123814805</v>
      </c>
      <c r="F321">
        <v>75.904096787229705</v>
      </c>
      <c r="G321">
        <v>82.670685444994106</v>
      </c>
      <c r="H321">
        <v>78.621672161880198</v>
      </c>
      <c r="I321">
        <v>20441</v>
      </c>
      <c r="J321">
        <v>73.3333333333333</v>
      </c>
      <c r="K321">
        <v>11</v>
      </c>
      <c r="L321" t="b">
        <v>1</v>
      </c>
      <c r="M321">
        <v>379</v>
      </c>
      <c r="N321" s="2" t="s">
        <v>100</v>
      </c>
      <c r="O321" t="b">
        <v>1</v>
      </c>
      <c r="P321" s="2" t="s">
        <v>100</v>
      </c>
      <c r="Q321">
        <v>71.154811864450707</v>
      </c>
      <c r="R321" t="b">
        <v>0</v>
      </c>
      <c r="S321">
        <v>77.380952380952294</v>
      </c>
      <c r="T321">
        <v>1.179</v>
      </c>
      <c r="U321" s="2" t="s">
        <v>100</v>
      </c>
      <c r="V321" t="b">
        <v>1</v>
      </c>
      <c r="W321" t="b">
        <v>1</v>
      </c>
      <c r="X321">
        <v>51.650165016501603</v>
      </c>
    </row>
    <row r="322" spans="3:24" x14ac:dyDescent="0.35">
      <c r="C322" s="2" t="s">
        <v>30</v>
      </c>
      <c r="D322" s="3">
        <v>44926</v>
      </c>
      <c r="E322">
        <v>79.754975704897205</v>
      </c>
      <c r="F322">
        <v>77.6403962506661</v>
      </c>
      <c r="G322">
        <v>69.719876126126096</v>
      </c>
      <c r="H322">
        <v>74.754132128080997</v>
      </c>
      <c r="I322">
        <v>21525</v>
      </c>
      <c r="J322">
        <v>76.470588235294102</v>
      </c>
      <c r="K322">
        <v>13</v>
      </c>
      <c r="L322" t="b">
        <v>1</v>
      </c>
      <c r="M322">
        <v>357</v>
      </c>
      <c r="N322" s="2" t="s">
        <v>100</v>
      </c>
      <c r="O322" t="b">
        <v>1</v>
      </c>
      <c r="P322" s="2" t="s">
        <v>100</v>
      </c>
      <c r="Q322">
        <v>73.521960578472303</v>
      </c>
      <c r="R322" t="b">
        <v>0</v>
      </c>
      <c r="S322">
        <v>77.721088435374099</v>
      </c>
      <c r="T322">
        <v>1.0209999999999999</v>
      </c>
      <c r="U322" s="2" t="s">
        <v>100</v>
      </c>
      <c r="V322" t="b">
        <v>1</v>
      </c>
      <c r="W322" t="b">
        <v>1</v>
      </c>
      <c r="X322">
        <v>52.741935483870897</v>
      </c>
    </row>
    <row r="323" spans="3:24" x14ac:dyDescent="0.35">
      <c r="C323" s="2" t="s">
        <v>30</v>
      </c>
      <c r="D323" s="3">
        <v>44561</v>
      </c>
      <c r="E323">
        <v>83.474762646357703</v>
      </c>
      <c r="F323">
        <v>68.781931126640998</v>
      </c>
      <c r="G323">
        <v>83.613357334720902</v>
      </c>
      <c r="H323">
        <v>76.673545812501899</v>
      </c>
      <c r="I323">
        <v>23028</v>
      </c>
      <c r="J323">
        <v>75</v>
      </c>
      <c r="K323">
        <v>15</v>
      </c>
      <c r="L323" t="b">
        <v>1</v>
      </c>
      <c r="M323">
        <v>222</v>
      </c>
      <c r="N323" s="2" t="s">
        <v>100</v>
      </c>
      <c r="O323" t="b">
        <v>1</v>
      </c>
      <c r="P323" s="2" t="s">
        <v>100</v>
      </c>
      <c r="Q323">
        <v>75.621147307915805</v>
      </c>
      <c r="R323" t="b">
        <v>0</v>
      </c>
      <c r="S323">
        <v>79.259259259259196</v>
      </c>
      <c r="T323">
        <v>0.82909999999999995</v>
      </c>
      <c r="U323" s="2" t="s">
        <v>100</v>
      </c>
      <c r="V323" t="b">
        <v>1</v>
      </c>
      <c r="W323" t="b">
        <v>1</v>
      </c>
      <c r="X323">
        <v>54.266211604095503</v>
      </c>
    </row>
    <row r="324" spans="3:24" x14ac:dyDescent="0.35">
      <c r="C324" s="2" t="s">
        <v>30</v>
      </c>
      <c r="D324" s="3">
        <v>44196</v>
      </c>
      <c r="E324">
        <v>33.607254367328601</v>
      </c>
      <c r="F324">
        <v>61.886096000063702</v>
      </c>
      <c r="G324">
        <v>80.102157102157094</v>
      </c>
      <c r="H324">
        <v>65.402008223203097</v>
      </c>
      <c r="I324">
        <v>48757</v>
      </c>
      <c r="J324">
        <v>66.6666666666666</v>
      </c>
      <c r="K324">
        <v>14</v>
      </c>
      <c r="L324" t="b">
        <v>1</v>
      </c>
      <c r="M324">
        <v>376</v>
      </c>
      <c r="N324" s="2" t="s">
        <v>100</v>
      </c>
      <c r="O324" t="b">
        <v>1</v>
      </c>
      <c r="P324" s="2" t="s">
        <v>100</v>
      </c>
      <c r="Q324">
        <v>78.200069035947806</v>
      </c>
      <c r="R324" t="b">
        <v>0</v>
      </c>
      <c r="S324">
        <v>34.322033898305101</v>
      </c>
      <c r="T324">
        <v>0.80269999999999997</v>
      </c>
      <c r="U324" s="2" t="s">
        <v>100</v>
      </c>
      <c r="V324" t="b">
        <v>1</v>
      </c>
      <c r="W324" t="b">
        <v>1</v>
      </c>
      <c r="X324">
        <v>54.1015625</v>
      </c>
    </row>
    <row r="325" spans="3:24" x14ac:dyDescent="0.35">
      <c r="C325" s="2" t="s">
        <v>30</v>
      </c>
      <c r="D325" s="3">
        <v>43830</v>
      </c>
      <c r="E325">
        <v>68.689331843020298</v>
      </c>
      <c r="F325">
        <v>64.502979756833398</v>
      </c>
      <c r="G325">
        <v>71.300421502396205</v>
      </c>
      <c r="H325">
        <v>63.432838615426903</v>
      </c>
      <c r="I325">
        <v>56232</v>
      </c>
      <c r="J325">
        <v>58.823529411764703</v>
      </c>
      <c r="K325">
        <v>13</v>
      </c>
      <c r="L325" t="b">
        <v>1</v>
      </c>
      <c r="M325">
        <v>864</v>
      </c>
      <c r="N325" s="2" t="s">
        <v>100</v>
      </c>
      <c r="O325" t="b">
        <v>1</v>
      </c>
      <c r="P325" s="2" t="s">
        <v>100</v>
      </c>
      <c r="Q325">
        <v>80.269779293880703</v>
      </c>
      <c r="R325" t="b">
        <v>0</v>
      </c>
      <c r="S325">
        <v>35.683760683760603</v>
      </c>
      <c r="T325">
        <v>2.0436299999999998</v>
      </c>
      <c r="U325" s="2" t="s">
        <v>100</v>
      </c>
      <c r="V325" t="b">
        <v>1</v>
      </c>
      <c r="W325" t="b">
        <v>1</v>
      </c>
      <c r="X325">
        <v>52.459016393442603</v>
      </c>
    </row>
    <row r="326" spans="3:24" x14ac:dyDescent="0.35">
      <c r="C326" s="2" t="s">
        <v>30</v>
      </c>
      <c r="D326" s="3">
        <v>43465</v>
      </c>
      <c r="E326">
        <v>70.690292857184602</v>
      </c>
      <c r="F326">
        <v>72.835766923389599</v>
      </c>
      <c r="G326">
        <v>65.392716053599202</v>
      </c>
      <c r="H326">
        <v>65.059281063688104</v>
      </c>
      <c r="I326">
        <v>88737</v>
      </c>
      <c r="J326">
        <v>52.941176470588204</v>
      </c>
      <c r="K326">
        <v>16</v>
      </c>
      <c r="L326" t="b">
        <v>1</v>
      </c>
      <c r="M326">
        <v>10661</v>
      </c>
      <c r="N326" s="2" t="s">
        <v>100</v>
      </c>
      <c r="O326" t="b">
        <v>1</v>
      </c>
      <c r="P326" s="2" t="s">
        <v>100</v>
      </c>
      <c r="Q326">
        <v>82.220517481419506</v>
      </c>
      <c r="R326" t="b">
        <v>0</v>
      </c>
      <c r="S326">
        <v>36.842105263157798</v>
      </c>
      <c r="T326" s="2" t="s">
        <v>100</v>
      </c>
      <c r="U326" s="2" t="s">
        <v>100</v>
      </c>
      <c r="V326" t="b">
        <v>1</v>
      </c>
      <c r="W326" t="b">
        <v>1</v>
      </c>
      <c r="X326">
        <v>53.196347031963398</v>
      </c>
    </row>
    <row r="327" spans="3:24" x14ac:dyDescent="0.35">
      <c r="C327" s="2" t="s">
        <v>30</v>
      </c>
      <c r="D327" s="3">
        <v>43100</v>
      </c>
      <c r="E327">
        <v>76.222805701425301</v>
      </c>
      <c r="F327">
        <v>72.761703412866098</v>
      </c>
      <c r="G327">
        <v>64.0928509185199</v>
      </c>
      <c r="H327">
        <v>64.927508857534903</v>
      </c>
      <c r="I327">
        <v>98102</v>
      </c>
      <c r="J327">
        <v>50</v>
      </c>
      <c r="K327">
        <v>15</v>
      </c>
      <c r="L327" t="b">
        <v>1</v>
      </c>
      <c r="M327">
        <v>12627</v>
      </c>
      <c r="N327" s="2" t="s">
        <v>100</v>
      </c>
      <c r="O327" t="b">
        <v>1</v>
      </c>
      <c r="P327" s="2" t="s">
        <v>100</v>
      </c>
      <c r="Q327">
        <v>85.960763534790999</v>
      </c>
      <c r="R327" s="2" t="s">
        <v>100</v>
      </c>
      <c r="S327">
        <v>37.121212121212103</v>
      </c>
      <c r="T327" s="2" t="s">
        <v>100</v>
      </c>
      <c r="U327" s="2" t="s">
        <v>100</v>
      </c>
      <c r="V327" t="b">
        <v>1</v>
      </c>
      <c r="W327" t="b">
        <v>1</v>
      </c>
      <c r="X327">
        <v>54.883720930232499</v>
      </c>
    </row>
    <row r="328" spans="3:24" x14ac:dyDescent="0.35">
      <c r="C328" s="2" t="s">
        <v>30</v>
      </c>
      <c r="D328" s="3">
        <v>42735</v>
      </c>
      <c r="E328">
        <v>80.036511156186606</v>
      </c>
      <c r="F328">
        <v>67.949545685422393</v>
      </c>
      <c r="G328">
        <v>63.278826516531403</v>
      </c>
      <c r="H328">
        <v>63.007442273384399</v>
      </c>
      <c r="I328">
        <v>101858</v>
      </c>
      <c r="J328">
        <v>50</v>
      </c>
      <c r="K328">
        <v>16</v>
      </c>
      <c r="L328" t="b">
        <v>1</v>
      </c>
      <c r="M328">
        <v>10534</v>
      </c>
      <c r="N328" s="2" t="s">
        <v>100</v>
      </c>
      <c r="O328" t="b">
        <v>1</v>
      </c>
      <c r="P328" s="2" t="s">
        <v>100</v>
      </c>
      <c r="Q328">
        <v>86.761782529177495</v>
      </c>
      <c r="R328" s="2" t="s">
        <v>100</v>
      </c>
      <c r="S328">
        <v>38.031914893617</v>
      </c>
      <c r="T328" s="2" t="s">
        <v>100</v>
      </c>
      <c r="U328" s="2" t="s">
        <v>100</v>
      </c>
      <c r="V328" t="b">
        <v>1</v>
      </c>
      <c r="W328" t="b">
        <v>1</v>
      </c>
      <c r="X328">
        <v>55.097087378640701</v>
      </c>
    </row>
    <row r="329" spans="3:24" x14ac:dyDescent="0.35">
      <c r="C329" s="2" t="s">
        <v>31</v>
      </c>
      <c r="D329" s="3">
        <v>45657</v>
      </c>
      <c r="E329">
        <v>81.340804839546195</v>
      </c>
      <c r="F329">
        <v>78.260977231750999</v>
      </c>
      <c r="G329">
        <v>59.016508338403703</v>
      </c>
      <c r="H329">
        <v>73.4160878063593</v>
      </c>
      <c r="I329">
        <v>2542021</v>
      </c>
      <c r="J329">
        <v>72.727272727272705</v>
      </c>
      <c r="K329">
        <v>11</v>
      </c>
      <c r="L329" t="b">
        <v>1</v>
      </c>
      <c r="M329" s="2" t="s">
        <v>100</v>
      </c>
      <c r="N329" s="2" t="s">
        <v>100</v>
      </c>
      <c r="O329" t="b">
        <v>1</v>
      </c>
      <c r="P329" s="2" t="s">
        <v>100</v>
      </c>
      <c r="Q329">
        <v>70.2374273937494</v>
      </c>
      <c r="R329" t="b">
        <v>1</v>
      </c>
      <c r="S329">
        <v>75.705329153605007</v>
      </c>
      <c r="T329" s="2" t="s">
        <v>100</v>
      </c>
      <c r="U329">
        <v>87</v>
      </c>
      <c r="V329" t="b">
        <v>1</v>
      </c>
      <c r="W329" t="b">
        <v>1</v>
      </c>
      <c r="X329">
        <v>52.286585365853597</v>
      </c>
    </row>
    <row r="330" spans="3:24" x14ac:dyDescent="0.35">
      <c r="C330" s="2" t="s">
        <v>31</v>
      </c>
      <c r="D330" s="3">
        <v>45291</v>
      </c>
      <c r="E330">
        <v>84.136968364517699</v>
      </c>
      <c r="F330">
        <v>83.036128792151501</v>
      </c>
      <c r="G330">
        <v>63.230430982438101</v>
      </c>
      <c r="H330">
        <v>77.502322264332705</v>
      </c>
      <c r="I330">
        <v>2411042</v>
      </c>
      <c r="J330">
        <v>66.6666666666666</v>
      </c>
      <c r="K330">
        <v>11</v>
      </c>
      <c r="L330" t="b">
        <v>1</v>
      </c>
      <c r="M330" s="2" t="s">
        <v>100</v>
      </c>
      <c r="N330" s="2" t="s">
        <v>100</v>
      </c>
      <c r="O330" t="b">
        <v>1</v>
      </c>
      <c r="P330" s="2" t="s">
        <v>100</v>
      </c>
      <c r="Q330">
        <v>71.154811864450707</v>
      </c>
      <c r="R330" t="b">
        <v>0</v>
      </c>
      <c r="S330">
        <v>76.121794871794805</v>
      </c>
      <c r="T330" s="2" t="s">
        <v>100</v>
      </c>
      <c r="U330">
        <v>87</v>
      </c>
      <c r="V330" t="b">
        <v>1</v>
      </c>
      <c r="W330" t="b">
        <v>1</v>
      </c>
      <c r="X330">
        <v>53.374233128834298</v>
      </c>
    </row>
    <row r="331" spans="3:24" x14ac:dyDescent="0.35">
      <c r="C331" s="2" t="s">
        <v>31</v>
      </c>
      <c r="D331" s="3">
        <v>44926</v>
      </c>
      <c r="E331">
        <v>88.078562502217295</v>
      </c>
      <c r="F331">
        <v>85.379821070653804</v>
      </c>
      <c r="G331">
        <v>64.861017267267201</v>
      </c>
      <c r="H331">
        <v>80.059251507424605</v>
      </c>
      <c r="I331">
        <v>2085971</v>
      </c>
      <c r="J331">
        <v>64.285714285714207</v>
      </c>
      <c r="K331">
        <v>13</v>
      </c>
      <c r="L331" t="b">
        <v>1</v>
      </c>
      <c r="M331" s="2" t="s">
        <v>100</v>
      </c>
      <c r="N331" s="2" t="s">
        <v>100</v>
      </c>
      <c r="O331" t="b">
        <v>1</v>
      </c>
      <c r="P331" s="2" t="s">
        <v>100</v>
      </c>
      <c r="Q331">
        <v>73.521960578472303</v>
      </c>
      <c r="R331" t="b">
        <v>0</v>
      </c>
      <c r="S331">
        <v>76.006711409395905</v>
      </c>
      <c r="T331" s="2" t="s">
        <v>100</v>
      </c>
      <c r="U331">
        <v>86</v>
      </c>
      <c r="V331" t="b">
        <v>1</v>
      </c>
      <c r="W331" t="b">
        <v>1</v>
      </c>
      <c r="X331">
        <v>55.140186915887803</v>
      </c>
    </row>
    <row r="332" spans="3:24" x14ac:dyDescent="0.35">
      <c r="C332" s="2" t="s">
        <v>31</v>
      </c>
      <c r="D332" s="3">
        <v>44561</v>
      </c>
      <c r="E332">
        <v>87.828672154828297</v>
      </c>
      <c r="F332">
        <v>86.260299371410397</v>
      </c>
      <c r="G332">
        <v>75.020907458712401</v>
      </c>
      <c r="H332">
        <v>83.369753369168706</v>
      </c>
      <c r="I332">
        <v>2002517</v>
      </c>
      <c r="J332">
        <v>73.3333333333333</v>
      </c>
      <c r="K332">
        <v>13</v>
      </c>
      <c r="L332" t="b">
        <v>1</v>
      </c>
      <c r="M332" s="2" t="s">
        <v>100</v>
      </c>
      <c r="N332" s="2" t="s">
        <v>100</v>
      </c>
      <c r="O332" t="b">
        <v>1</v>
      </c>
      <c r="P332" s="2" t="s">
        <v>100</v>
      </c>
      <c r="Q332">
        <v>75.621147307915805</v>
      </c>
      <c r="R332" t="b">
        <v>0</v>
      </c>
      <c r="S332">
        <v>78.653846153846104</v>
      </c>
      <c r="T332" s="2" t="s">
        <v>100</v>
      </c>
      <c r="U332">
        <v>85</v>
      </c>
      <c r="V332" t="b">
        <v>1</v>
      </c>
      <c r="W332" t="b">
        <v>1</v>
      </c>
      <c r="X332">
        <v>56.643356643356597</v>
      </c>
    </row>
    <row r="333" spans="3:24" x14ac:dyDescent="0.35">
      <c r="C333" s="2" t="s">
        <v>31</v>
      </c>
      <c r="D333" s="3">
        <v>44196</v>
      </c>
      <c r="E333">
        <v>85.9143466232956</v>
      </c>
      <c r="F333">
        <v>87.3638998476887</v>
      </c>
      <c r="G333">
        <v>79.583638583638503</v>
      </c>
      <c r="H333">
        <v>84.691882445922801</v>
      </c>
      <c r="I333">
        <v>1671284</v>
      </c>
      <c r="J333">
        <v>73.3333333333333</v>
      </c>
      <c r="K333">
        <v>13</v>
      </c>
      <c r="L333" t="b">
        <v>1</v>
      </c>
      <c r="M333" s="2" t="s">
        <v>100</v>
      </c>
      <c r="N333" s="2" t="s">
        <v>100</v>
      </c>
      <c r="O333" t="b">
        <v>1</v>
      </c>
      <c r="P333" s="2" t="s">
        <v>100</v>
      </c>
      <c r="Q333">
        <v>78.200069035947806</v>
      </c>
      <c r="R333" t="b">
        <v>0</v>
      </c>
      <c r="S333">
        <v>80.309734513274293</v>
      </c>
      <c r="T333" s="2" t="s">
        <v>100</v>
      </c>
      <c r="U333">
        <v>79</v>
      </c>
      <c r="V333" t="b">
        <v>1</v>
      </c>
      <c r="W333" t="b">
        <v>1</v>
      </c>
      <c r="X333">
        <v>59.003831417624497</v>
      </c>
    </row>
    <row r="334" spans="3:24" x14ac:dyDescent="0.35">
      <c r="C334" s="2" t="s">
        <v>31</v>
      </c>
      <c r="D334" s="3">
        <v>43830</v>
      </c>
      <c r="E334">
        <v>82.681262093026803</v>
      </c>
      <c r="F334">
        <v>87.503701444511407</v>
      </c>
      <c r="G334">
        <v>49.4860557768924</v>
      </c>
      <c r="H334">
        <v>75.045512890406897</v>
      </c>
      <c r="I334">
        <v>2230532</v>
      </c>
      <c r="J334">
        <v>58.3333333333333</v>
      </c>
      <c r="K334">
        <v>12</v>
      </c>
      <c r="L334" t="b">
        <v>1</v>
      </c>
      <c r="M334" s="2" t="s">
        <v>100</v>
      </c>
      <c r="N334" s="2" t="s">
        <v>100</v>
      </c>
      <c r="O334" t="b">
        <v>1</v>
      </c>
      <c r="P334" s="2" t="s">
        <v>100</v>
      </c>
      <c r="Q334">
        <v>80.269779293880703</v>
      </c>
      <c r="R334" t="b">
        <v>0</v>
      </c>
      <c r="S334">
        <v>78.738317757009298</v>
      </c>
      <c r="T334" s="2" t="s">
        <v>100</v>
      </c>
      <c r="U334">
        <v>87</v>
      </c>
      <c r="V334" t="b">
        <v>1</v>
      </c>
      <c r="W334" t="b">
        <v>1</v>
      </c>
      <c r="X334">
        <v>56.837606837606799</v>
      </c>
    </row>
    <row r="335" spans="3:24" x14ac:dyDescent="0.35">
      <c r="C335" s="2" t="s">
        <v>31</v>
      </c>
      <c r="D335" s="3">
        <v>43465</v>
      </c>
      <c r="E335">
        <v>78.276607762446503</v>
      </c>
      <c r="F335">
        <v>85.918942402630194</v>
      </c>
      <c r="G335">
        <v>49.446095229421097</v>
      </c>
      <c r="H335">
        <v>73.168663476343596</v>
      </c>
      <c r="I335">
        <v>2407995</v>
      </c>
      <c r="J335">
        <v>58.3333333333333</v>
      </c>
      <c r="K335">
        <v>12</v>
      </c>
      <c r="L335" t="b">
        <v>1</v>
      </c>
      <c r="M335">
        <v>730992</v>
      </c>
      <c r="N335" s="2" t="s">
        <v>100</v>
      </c>
      <c r="O335" t="b">
        <v>1</v>
      </c>
      <c r="P335" s="2" t="s">
        <v>100</v>
      </c>
      <c r="Q335">
        <v>82.220517481419506</v>
      </c>
      <c r="R335" t="b">
        <v>0</v>
      </c>
      <c r="S335">
        <v>82.085561497326196</v>
      </c>
      <c r="T335" s="2" t="s">
        <v>100</v>
      </c>
      <c r="U335">
        <v>86</v>
      </c>
      <c r="V335" t="b">
        <v>1</v>
      </c>
      <c r="W335" t="b">
        <v>1</v>
      </c>
      <c r="X335">
        <v>58.292682926829201</v>
      </c>
    </row>
    <row r="336" spans="3:24" x14ac:dyDescent="0.35">
      <c r="C336" s="2" t="s">
        <v>31</v>
      </c>
      <c r="D336" s="3">
        <v>43100</v>
      </c>
      <c r="E336">
        <v>70.638092564341605</v>
      </c>
      <c r="F336">
        <v>79.878104647335405</v>
      </c>
      <c r="G336">
        <v>59.497299582244104</v>
      </c>
      <c r="H336">
        <v>71.437864665045396</v>
      </c>
      <c r="I336">
        <v>2255530</v>
      </c>
      <c r="J336">
        <v>58.3333333333333</v>
      </c>
      <c r="K336">
        <v>11</v>
      </c>
      <c r="L336" t="b">
        <v>1</v>
      </c>
      <c r="M336">
        <v>642467</v>
      </c>
      <c r="N336" s="2" t="s">
        <v>100</v>
      </c>
      <c r="O336" t="b">
        <v>1</v>
      </c>
      <c r="P336" s="2" t="s">
        <v>100</v>
      </c>
      <c r="Q336">
        <v>85.960763534790999</v>
      </c>
      <c r="R336" s="2" t="s">
        <v>100</v>
      </c>
      <c r="S336">
        <v>68.343195266272105</v>
      </c>
      <c r="T336" s="2" t="s">
        <v>100</v>
      </c>
      <c r="U336">
        <v>85</v>
      </c>
      <c r="V336" t="b">
        <v>1</v>
      </c>
      <c r="W336" t="b">
        <v>1</v>
      </c>
      <c r="X336">
        <v>58.108108108108098</v>
      </c>
    </row>
    <row r="337" spans="3:24" x14ac:dyDescent="0.35">
      <c r="C337" s="2" t="s">
        <v>31</v>
      </c>
      <c r="D337" s="3">
        <v>42735</v>
      </c>
      <c r="E337">
        <v>69.3151484818151</v>
      </c>
      <c r="F337">
        <v>79.9665824915824</v>
      </c>
      <c r="G337">
        <v>45.180355467240602</v>
      </c>
      <c r="H337">
        <v>66.915842011249296</v>
      </c>
      <c r="I337">
        <v>2341146</v>
      </c>
      <c r="J337">
        <v>61.538461538461497</v>
      </c>
      <c r="K337">
        <v>10</v>
      </c>
      <c r="L337" t="b">
        <v>1</v>
      </c>
      <c r="M337" s="2" t="s">
        <v>100</v>
      </c>
      <c r="N337" s="2" t="s">
        <v>100</v>
      </c>
      <c r="O337" t="b">
        <v>1</v>
      </c>
      <c r="P337" s="2" t="s">
        <v>100</v>
      </c>
      <c r="Q337">
        <v>86.761782529177495</v>
      </c>
      <c r="R337" s="2" t="s">
        <v>100</v>
      </c>
      <c r="S337">
        <v>68.125</v>
      </c>
      <c r="T337" s="2" t="s">
        <v>100</v>
      </c>
      <c r="U337">
        <v>88.7</v>
      </c>
      <c r="V337" t="b">
        <v>1</v>
      </c>
      <c r="W337" t="b">
        <v>1</v>
      </c>
      <c r="X337">
        <v>59.428571428571402</v>
      </c>
    </row>
    <row r="338" spans="3:24" x14ac:dyDescent="0.35">
      <c r="C338" s="2" t="s">
        <v>31</v>
      </c>
      <c r="D338" s="3">
        <v>42369</v>
      </c>
      <c r="E338">
        <v>72.658152771798896</v>
      </c>
      <c r="F338">
        <v>82.113243028529396</v>
      </c>
      <c r="G338">
        <v>60.934407413110101</v>
      </c>
      <c r="H338">
        <v>73.381355720742107</v>
      </c>
      <c r="I338">
        <v>2335287</v>
      </c>
      <c r="J338">
        <v>57.142857142857103</v>
      </c>
      <c r="K338">
        <v>13</v>
      </c>
      <c r="L338" t="b">
        <v>1</v>
      </c>
      <c r="M338" s="2" t="s">
        <v>100</v>
      </c>
      <c r="N338" s="2" t="s">
        <v>100</v>
      </c>
      <c r="O338" t="b">
        <v>1</v>
      </c>
      <c r="P338" s="2" t="s">
        <v>100</v>
      </c>
      <c r="Q338">
        <v>87.208323109393802</v>
      </c>
      <c r="R338" s="2" t="s">
        <v>100</v>
      </c>
      <c r="S338">
        <v>64.960629921259795</v>
      </c>
      <c r="T338" s="2" t="s">
        <v>100</v>
      </c>
      <c r="U338">
        <v>87.3</v>
      </c>
      <c r="V338" t="b">
        <v>1</v>
      </c>
      <c r="W338" t="b">
        <v>1</v>
      </c>
      <c r="X338">
        <v>64.189189189189094</v>
      </c>
    </row>
    <row r="339" spans="3:24" x14ac:dyDescent="0.35">
      <c r="C339" s="2" t="s">
        <v>32</v>
      </c>
      <c r="D339" s="3">
        <v>46022</v>
      </c>
      <c r="E339">
        <v>78.907434680630601</v>
      </c>
      <c r="F339">
        <v>83.075440675828901</v>
      </c>
      <c r="G339">
        <v>74.211516203703695</v>
      </c>
      <c r="H339">
        <v>79.771570979887699</v>
      </c>
      <c r="I339">
        <v>327688</v>
      </c>
      <c r="J339">
        <v>71.428571428571402</v>
      </c>
      <c r="K339">
        <v>12</v>
      </c>
      <c r="L339" t="b">
        <v>1</v>
      </c>
      <c r="M339">
        <v>72596</v>
      </c>
      <c r="N339">
        <v>1382</v>
      </c>
      <c r="O339" t="b">
        <v>1</v>
      </c>
      <c r="P339" s="2" t="s">
        <v>100</v>
      </c>
      <c r="Q339">
        <v>69.909916611739803</v>
      </c>
      <c r="R339" t="b">
        <v>1</v>
      </c>
      <c r="S339">
        <v>84.5</v>
      </c>
      <c r="T339">
        <v>0.9</v>
      </c>
      <c r="U339" s="2" t="s">
        <v>100</v>
      </c>
      <c r="V339" t="b">
        <v>1</v>
      </c>
      <c r="W339" t="b">
        <v>1</v>
      </c>
      <c r="X339">
        <v>52.912621359223301</v>
      </c>
    </row>
    <row r="340" spans="3:24" x14ac:dyDescent="0.35">
      <c r="C340" s="2" t="s">
        <v>32</v>
      </c>
      <c r="D340" s="3">
        <v>45657</v>
      </c>
      <c r="E340">
        <v>87.003609628793797</v>
      </c>
      <c r="F340">
        <v>85.835134053621303</v>
      </c>
      <c r="G340">
        <v>79.771413570433097</v>
      </c>
      <c r="H340">
        <v>84.594086048772198</v>
      </c>
      <c r="I340">
        <v>339366</v>
      </c>
      <c r="J340">
        <v>75</v>
      </c>
      <c r="K340">
        <v>11</v>
      </c>
      <c r="L340" t="b">
        <v>1</v>
      </c>
      <c r="M340">
        <v>72562</v>
      </c>
      <c r="N340">
        <v>1593</v>
      </c>
      <c r="O340" t="b">
        <v>1</v>
      </c>
      <c r="P340" s="2" t="s">
        <v>100</v>
      </c>
      <c r="Q340">
        <v>70.2374273937494</v>
      </c>
      <c r="R340" t="b">
        <v>0</v>
      </c>
      <c r="S340">
        <v>84.313725490196106</v>
      </c>
      <c r="T340">
        <v>1</v>
      </c>
      <c r="U340" s="2" t="s">
        <v>100</v>
      </c>
      <c r="V340" t="b">
        <v>1</v>
      </c>
      <c r="W340" t="b">
        <v>1</v>
      </c>
      <c r="X340">
        <v>52.857142857142797</v>
      </c>
    </row>
    <row r="341" spans="3:24" x14ac:dyDescent="0.35">
      <c r="C341" s="2" t="s">
        <v>32</v>
      </c>
      <c r="D341" s="3">
        <v>45291</v>
      </c>
      <c r="E341">
        <v>90.862382148979293</v>
      </c>
      <c r="F341">
        <v>94.084147302580604</v>
      </c>
      <c r="G341">
        <v>75.598176231539199</v>
      </c>
      <c r="H341">
        <v>88.580777555488098</v>
      </c>
      <c r="I341">
        <v>357304</v>
      </c>
      <c r="J341">
        <v>73.3333333333333</v>
      </c>
      <c r="K341">
        <v>15</v>
      </c>
      <c r="L341" t="b">
        <v>1</v>
      </c>
      <c r="M341">
        <v>76484</v>
      </c>
      <c r="N341">
        <v>1369</v>
      </c>
      <c r="O341" t="b">
        <v>1</v>
      </c>
      <c r="P341" s="2" t="s">
        <v>100</v>
      </c>
      <c r="Q341">
        <v>71.154811864450707</v>
      </c>
      <c r="R341" t="b">
        <v>0</v>
      </c>
      <c r="S341">
        <v>98.979591836734599</v>
      </c>
      <c r="T341">
        <v>1</v>
      </c>
      <c r="U341" s="2" t="s">
        <v>100</v>
      </c>
      <c r="V341" t="b">
        <v>1</v>
      </c>
      <c r="W341" t="b">
        <v>1</v>
      </c>
      <c r="X341">
        <v>52.941176470588204</v>
      </c>
    </row>
    <row r="342" spans="3:24" x14ac:dyDescent="0.35">
      <c r="C342" s="2" t="s">
        <v>32</v>
      </c>
      <c r="D342" s="3">
        <v>44926</v>
      </c>
      <c r="E342">
        <v>90.333898406493702</v>
      </c>
      <c r="F342">
        <v>92.989229081683604</v>
      </c>
      <c r="G342">
        <v>70.306462712712701</v>
      </c>
      <c r="H342">
        <v>86.565486169079406</v>
      </c>
      <c r="I342">
        <v>363435</v>
      </c>
      <c r="J342">
        <v>85.714285714285694</v>
      </c>
      <c r="K342">
        <v>12</v>
      </c>
      <c r="L342" t="b">
        <v>1</v>
      </c>
      <c r="M342">
        <v>77600</v>
      </c>
      <c r="N342">
        <v>2016</v>
      </c>
      <c r="O342" t="b">
        <v>1</v>
      </c>
      <c r="P342" s="2" t="s">
        <v>100</v>
      </c>
      <c r="Q342">
        <v>73.521960578472303</v>
      </c>
      <c r="R342" t="b">
        <v>0</v>
      </c>
      <c r="S342">
        <v>96.907216494845301</v>
      </c>
      <c r="T342">
        <v>0.7</v>
      </c>
      <c r="U342">
        <v>76</v>
      </c>
      <c r="V342" t="b">
        <v>1</v>
      </c>
      <c r="W342" t="b">
        <v>1</v>
      </c>
      <c r="X342">
        <v>54.368932038834899</v>
      </c>
    </row>
    <row r="343" spans="3:24" x14ac:dyDescent="0.35">
      <c r="C343" s="2" t="s">
        <v>32</v>
      </c>
      <c r="D343" s="3">
        <v>44561</v>
      </c>
      <c r="E343">
        <v>90.781852681348795</v>
      </c>
      <c r="F343">
        <v>94.389754103888606</v>
      </c>
      <c r="G343">
        <v>84.892321899859795</v>
      </c>
      <c r="H343">
        <v>91.067275156307801</v>
      </c>
      <c r="I343">
        <v>358431</v>
      </c>
      <c r="J343">
        <v>83.3333333333333</v>
      </c>
      <c r="K343">
        <v>12</v>
      </c>
      <c r="L343" t="b">
        <v>1</v>
      </c>
      <c r="M343">
        <v>81399</v>
      </c>
      <c r="N343">
        <v>1951</v>
      </c>
      <c r="O343" t="b">
        <v>1</v>
      </c>
      <c r="P343">
        <v>403675</v>
      </c>
      <c r="Q343">
        <v>75.621147307915805</v>
      </c>
      <c r="R343" t="b">
        <v>0</v>
      </c>
      <c r="S343">
        <v>95.882352941176407</v>
      </c>
      <c r="T343">
        <v>0.6</v>
      </c>
      <c r="U343">
        <v>73</v>
      </c>
      <c r="V343" t="b">
        <v>1</v>
      </c>
      <c r="W343" t="b">
        <v>1</v>
      </c>
      <c r="X343">
        <v>53.370786516853897</v>
      </c>
    </row>
    <row r="344" spans="3:24" x14ac:dyDescent="0.35">
      <c r="C344" s="2" t="s">
        <v>32</v>
      </c>
      <c r="D344" s="3">
        <v>44196</v>
      </c>
      <c r="E344">
        <v>89.346841124661296</v>
      </c>
      <c r="F344">
        <v>93.870809656623706</v>
      </c>
      <c r="G344">
        <v>80.846153846153797</v>
      </c>
      <c r="H344">
        <v>89.421862640232405</v>
      </c>
      <c r="I344">
        <v>395098</v>
      </c>
      <c r="J344">
        <v>69.230769230769198</v>
      </c>
      <c r="K344">
        <v>11</v>
      </c>
      <c r="L344" t="b">
        <v>1</v>
      </c>
      <c r="M344">
        <v>93846</v>
      </c>
      <c r="N344">
        <v>2521</v>
      </c>
      <c r="O344" t="b">
        <v>1</v>
      </c>
      <c r="P344">
        <v>264826</v>
      </c>
      <c r="Q344">
        <v>78.200069035947806</v>
      </c>
      <c r="R344" t="b">
        <v>0</v>
      </c>
      <c r="S344">
        <v>95.3333333333333</v>
      </c>
      <c r="T344">
        <v>0.56999999999999995</v>
      </c>
      <c r="U344">
        <v>82</v>
      </c>
      <c r="V344" t="b">
        <v>1</v>
      </c>
      <c r="W344" t="b">
        <v>1</v>
      </c>
      <c r="X344">
        <v>54.430379746835399</v>
      </c>
    </row>
    <row r="345" spans="3:24" x14ac:dyDescent="0.35">
      <c r="C345" s="2" t="s">
        <v>32</v>
      </c>
      <c r="D345" s="3">
        <v>43830</v>
      </c>
      <c r="E345">
        <v>87.780887644941998</v>
      </c>
      <c r="F345">
        <v>89.958386958386896</v>
      </c>
      <c r="G345">
        <v>69.326231306657405</v>
      </c>
      <c r="H345">
        <v>84.175657530596197</v>
      </c>
      <c r="I345">
        <v>342019</v>
      </c>
      <c r="J345">
        <v>66.6666666666666</v>
      </c>
      <c r="K345">
        <v>11</v>
      </c>
      <c r="L345" t="b">
        <v>1</v>
      </c>
      <c r="M345">
        <v>95881</v>
      </c>
      <c r="N345">
        <v>1856</v>
      </c>
      <c r="O345" t="b">
        <v>1</v>
      </c>
      <c r="P345">
        <v>241679</v>
      </c>
      <c r="Q345">
        <v>80.269779293880703</v>
      </c>
      <c r="R345" t="b">
        <v>0</v>
      </c>
      <c r="S345">
        <v>94.4444444444444</v>
      </c>
      <c r="T345">
        <v>0.76</v>
      </c>
      <c r="U345" s="2" t="s">
        <v>100</v>
      </c>
      <c r="V345" t="b">
        <v>1</v>
      </c>
      <c r="W345" t="b">
        <v>1</v>
      </c>
      <c r="X345">
        <v>54.054054054053999</v>
      </c>
    </row>
    <row r="346" spans="3:24" x14ac:dyDescent="0.35">
      <c r="C346" s="2" t="s">
        <v>32</v>
      </c>
      <c r="D346" s="3">
        <v>43465</v>
      </c>
      <c r="E346">
        <v>82.645424168030502</v>
      </c>
      <c r="F346">
        <v>90.061923583662704</v>
      </c>
      <c r="G346">
        <v>75.241109479300604</v>
      </c>
      <c r="H346">
        <v>84.424294803945799</v>
      </c>
      <c r="I346">
        <v>396070</v>
      </c>
      <c r="J346">
        <v>78.571428571428498</v>
      </c>
      <c r="K346">
        <v>11</v>
      </c>
      <c r="L346" t="b">
        <v>1</v>
      </c>
      <c r="M346">
        <v>95822</v>
      </c>
      <c r="N346">
        <v>1338</v>
      </c>
      <c r="O346" t="b">
        <v>1</v>
      </c>
      <c r="P346" s="2" t="s">
        <v>100</v>
      </c>
      <c r="Q346">
        <v>82.220517481419506</v>
      </c>
      <c r="R346" t="b">
        <v>0</v>
      </c>
      <c r="S346">
        <v>93.939393939393895</v>
      </c>
      <c r="T346">
        <v>0.84</v>
      </c>
      <c r="U346">
        <v>66</v>
      </c>
      <c r="V346" t="b">
        <v>1</v>
      </c>
      <c r="W346" t="b">
        <v>1</v>
      </c>
      <c r="X346">
        <v>52.272727272727202</v>
      </c>
    </row>
    <row r="347" spans="3:24" x14ac:dyDescent="0.35">
      <c r="C347" s="2" t="s">
        <v>32</v>
      </c>
      <c r="D347" s="3">
        <v>43100</v>
      </c>
      <c r="E347">
        <v>88.579833986810698</v>
      </c>
      <c r="F347">
        <v>87.631994733377198</v>
      </c>
      <c r="G347">
        <v>59.2715366286223</v>
      </c>
      <c r="H347">
        <v>80.682316714732295</v>
      </c>
      <c r="I347">
        <v>264648</v>
      </c>
      <c r="J347">
        <v>72.727272727272705</v>
      </c>
      <c r="K347">
        <v>11</v>
      </c>
      <c r="L347" t="b">
        <v>1</v>
      </c>
      <c r="M347">
        <v>70060</v>
      </c>
      <c r="N347">
        <v>1517</v>
      </c>
      <c r="O347" t="b">
        <v>1</v>
      </c>
      <c r="P347" s="2" t="s">
        <v>100</v>
      </c>
      <c r="Q347">
        <v>85.960763534790999</v>
      </c>
      <c r="R347" s="2" t="s">
        <v>100</v>
      </c>
      <c r="S347">
        <v>93.548387096774107</v>
      </c>
      <c r="T347">
        <v>1.21</v>
      </c>
      <c r="U347" s="2" t="s">
        <v>100</v>
      </c>
      <c r="V347" t="b">
        <v>1</v>
      </c>
      <c r="W347" t="b">
        <v>1</v>
      </c>
      <c r="X347">
        <v>53.225806451612897</v>
      </c>
    </row>
    <row r="348" spans="3:24" x14ac:dyDescent="0.35">
      <c r="C348" s="2" t="s">
        <v>32</v>
      </c>
      <c r="D348" s="3">
        <v>42735</v>
      </c>
      <c r="E348">
        <v>89.271558466113206</v>
      </c>
      <c r="F348">
        <v>81.871428571428496</v>
      </c>
      <c r="G348">
        <v>56.287326820113698</v>
      </c>
      <c r="H348">
        <v>77.261407537353193</v>
      </c>
      <c r="I348">
        <v>260818</v>
      </c>
      <c r="J348">
        <v>78.571428571428498</v>
      </c>
      <c r="K348">
        <v>11</v>
      </c>
      <c r="L348" t="b">
        <v>1</v>
      </c>
      <c r="M348">
        <v>71410</v>
      </c>
      <c r="N348">
        <v>1421</v>
      </c>
      <c r="O348" t="b">
        <v>1</v>
      </c>
      <c r="P348" s="2" t="s">
        <v>100</v>
      </c>
      <c r="Q348">
        <v>86.761782529177495</v>
      </c>
      <c r="R348" s="2" t="s">
        <v>100</v>
      </c>
      <c r="S348">
        <v>96.551724137931004</v>
      </c>
      <c r="T348">
        <v>0.71</v>
      </c>
      <c r="U348" s="2" t="s">
        <v>100</v>
      </c>
      <c r="V348" t="b">
        <v>1</v>
      </c>
      <c r="W348" t="b">
        <v>1</v>
      </c>
      <c r="X348">
        <v>55.737704918032698</v>
      </c>
    </row>
    <row r="349" spans="3:24" x14ac:dyDescent="0.35">
      <c r="C349" s="2" t="s">
        <v>33</v>
      </c>
      <c r="D349" s="3">
        <v>45747</v>
      </c>
      <c r="E349">
        <v>61.351081892126601</v>
      </c>
      <c r="F349">
        <v>71.653599011114693</v>
      </c>
      <c r="G349">
        <v>76.064350064350094</v>
      </c>
      <c r="H349">
        <v>70.712961012215104</v>
      </c>
      <c r="I349">
        <v>16100</v>
      </c>
      <c r="J349">
        <v>75</v>
      </c>
      <c r="K349">
        <v>11</v>
      </c>
      <c r="L349" t="b">
        <v>1</v>
      </c>
      <c r="M349">
        <v>629</v>
      </c>
      <c r="N349" s="2" t="s">
        <v>100</v>
      </c>
      <c r="O349" t="b">
        <v>1</v>
      </c>
      <c r="P349" s="2" t="s">
        <v>100</v>
      </c>
      <c r="Q349">
        <v>69.909916611739803</v>
      </c>
      <c r="R349" t="b">
        <v>0</v>
      </c>
      <c r="S349">
        <v>23.815789473684202</v>
      </c>
      <c r="T349">
        <v>0.17</v>
      </c>
      <c r="U349">
        <v>82</v>
      </c>
      <c r="V349" t="b">
        <v>1</v>
      </c>
      <c r="W349" t="b">
        <v>1</v>
      </c>
      <c r="X349">
        <v>51.6927083333333</v>
      </c>
    </row>
    <row r="350" spans="3:24" x14ac:dyDescent="0.35">
      <c r="C350" s="2" t="s">
        <v>33</v>
      </c>
      <c r="D350" s="3">
        <v>45382</v>
      </c>
      <c r="E350">
        <v>61.429389344195201</v>
      </c>
      <c r="F350">
        <v>73.538562706126896</v>
      </c>
      <c r="G350">
        <v>65.212355212355206</v>
      </c>
      <c r="H350">
        <v>67.895888839555397</v>
      </c>
      <c r="I350">
        <v>18395</v>
      </c>
      <c r="J350">
        <v>72.727272727272705</v>
      </c>
      <c r="K350">
        <v>11</v>
      </c>
      <c r="L350" t="b">
        <v>1</v>
      </c>
      <c r="M350">
        <v>719</v>
      </c>
      <c r="N350" s="2" t="s">
        <v>100</v>
      </c>
      <c r="O350" t="b">
        <v>1</v>
      </c>
      <c r="P350" s="2" t="s">
        <v>100</v>
      </c>
      <c r="Q350">
        <v>70.2374273937494</v>
      </c>
      <c r="R350" t="b">
        <v>0</v>
      </c>
      <c r="S350">
        <v>25.5263157894736</v>
      </c>
      <c r="T350">
        <v>0.24</v>
      </c>
      <c r="U350">
        <v>83</v>
      </c>
      <c r="V350" t="b">
        <v>1</v>
      </c>
      <c r="W350" t="b">
        <v>1</v>
      </c>
      <c r="X350">
        <v>51.813471502590602</v>
      </c>
    </row>
    <row r="351" spans="3:24" x14ac:dyDescent="0.35">
      <c r="C351" s="2" t="s">
        <v>33</v>
      </c>
      <c r="D351" s="3">
        <v>45016</v>
      </c>
      <c r="E351">
        <v>59.7385169848937</v>
      </c>
      <c r="F351">
        <v>73.942660895886206</v>
      </c>
      <c r="G351">
        <v>86.0572337042925</v>
      </c>
      <c r="H351">
        <v>74.671953755453501</v>
      </c>
      <c r="I351">
        <v>21176</v>
      </c>
      <c r="J351">
        <v>71.428571428571402</v>
      </c>
      <c r="K351">
        <v>10</v>
      </c>
      <c r="L351" t="b">
        <v>1</v>
      </c>
      <c r="M351">
        <v>870</v>
      </c>
      <c r="N351" s="2" t="s">
        <v>100</v>
      </c>
      <c r="O351" t="b">
        <v>1</v>
      </c>
      <c r="P351" s="2" t="s">
        <v>100</v>
      </c>
      <c r="Q351">
        <v>71.154811864450707</v>
      </c>
      <c r="R351" t="b">
        <v>0</v>
      </c>
      <c r="S351">
        <v>26.164383561643799</v>
      </c>
      <c r="T351">
        <v>0.27</v>
      </c>
      <c r="U351">
        <v>82</v>
      </c>
      <c r="V351" t="b">
        <v>1</v>
      </c>
      <c r="W351" t="b">
        <v>1</v>
      </c>
      <c r="X351">
        <v>52.910052910052897</v>
      </c>
    </row>
    <row r="352" spans="3:24" x14ac:dyDescent="0.35">
      <c r="C352" s="2" t="s">
        <v>33</v>
      </c>
      <c r="D352" s="3">
        <v>44651</v>
      </c>
      <c r="E352">
        <v>46.8717104676265</v>
      </c>
      <c r="F352">
        <v>75.149224848464897</v>
      </c>
      <c r="G352">
        <v>82.193958664546898</v>
      </c>
      <c r="H352">
        <v>70.867667525534102</v>
      </c>
      <c r="I352">
        <v>23600</v>
      </c>
      <c r="J352">
        <v>72.727272727272705</v>
      </c>
      <c r="K352">
        <v>11</v>
      </c>
      <c r="L352" t="b">
        <v>1</v>
      </c>
      <c r="M352" s="2" t="s">
        <v>100</v>
      </c>
      <c r="N352" s="2" t="s">
        <v>100</v>
      </c>
      <c r="O352" t="b">
        <v>1</v>
      </c>
      <c r="P352" s="2" t="s">
        <v>100</v>
      </c>
      <c r="Q352">
        <v>73.521960578472303</v>
      </c>
      <c r="R352" t="b">
        <v>0</v>
      </c>
      <c r="S352">
        <v>25.956284153005399</v>
      </c>
      <c r="T352">
        <v>0.27</v>
      </c>
      <c r="U352">
        <v>78</v>
      </c>
      <c r="V352" t="b">
        <v>1</v>
      </c>
      <c r="W352" t="b">
        <v>1</v>
      </c>
      <c r="X352">
        <v>54.285714285714199</v>
      </c>
    </row>
    <row r="353" spans="3:24" x14ac:dyDescent="0.35">
      <c r="C353" s="2" t="s">
        <v>33</v>
      </c>
      <c r="D353" s="3">
        <v>44286</v>
      </c>
      <c r="E353">
        <v>48.896913148024403</v>
      </c>
      <c r="F353">
        <v>76.876948471582594</v>
      </c>
      <c r="G353">
        <v>89.366013071895395</v>
      </c>
      <c r="H353">
        <v>74.493640966522804</v>
      </c>
      <c r="I353">
        <v>24400</v>
      </c>
      <c r="J353">
        <v>70</v>
      </c>
      <c r="K353">
        <v>10</v>
      </c>
      <c r="L353" t="b">
        <v>1</v>
      </c>
      <c r="M353" s="2" t="s">
        <v>100</v>
      </c>
      <c r="N353" s="2" t="s">
        <v>100</v>
      </c>
      <c r="O353" t="b">
        <v>1</v>
      </c>
      <c r="P353" s="2" t="s">
        <v>100</v>
      </c>
      <c r="Q353">
        <v>75.621147307915805</v>
      </c>
      <c r="R353" t="b">
        <v>0</v>
      </c>
      <c r="S353">
        <v>25.525525525525499</v>
      </c>
      <c r="T353">
        <v>0.2</v>
      </c>
      <c r="U353" s="2" t="s">
        <v>100</v>
      </c>
      <c r="V353" t="b">
        <v>1</v>
      </c>
      <c r="W353" t="b">
        <v>1</v>
      </c>
      <c r="X353">
        <v>55.182072829131599</v>
      </c>
    </row>
    <row r="354" spans="3:24" x14ac:dyDescent="0.35">
      <c r="C354" s="2" t="s">
        <v>33</v>
      </c>
      <c r="D354" s="3">
        <v>43921</v>
      </c>
      <c r="E354">
        <v>46.496560888506302</v>
      </c>
      <c r="F354">
        <v>70.985291217163606</v>
      </c>
      <c r="G354">
        <v>75.483870967741893</v>
      </c>
      <c r="H354">
        <v>66.739329153158494</v>
      </c>
      <c r="I354">
        <v>28500</v>
      </c>
      <c r="J354">
        <v>63.636363636363598</v>
      </c>
      <c r="K354">
        <v>9</v>
      </c>
      <c r="L354" t="b">
        <v>1</v>
      </c>
      <c r="M354" s="2" t="s">
        <v>100</v>
      </c>
      <c r="N354" s="2" t="s">
        <v>100</v>
      </c>
      <c r="O354" t="b">
        <v>1</v>
      </c>
      <c r="P354" s="2" t="s">
        <v>100</v>
      </c>
      <c r="Q354">
        <v>78.200069035947806</v>
      </c>
      <c r="R354" t="b">
        <v>0</v>
      </c>
      <c r="S354">
        <v>27.6271186440677</v>
      </c>
      <c r="T354">
        <v>0.49</v>
      </c>
      <c r="U354">
        <v>76</v>
      </c>
      <c r="V354" t="b">
        <v>1</v>
      </c>
      <c r="W354" t="b">
        <v>1</v>
      </c>
      <c r="X354">
        <v>56.9444444444444</v>
      </c>
    </row>
    <row r="355" spans="3:24" x14ac:dyDescent="0.35">
      <c r="C355" s="2" t="s">
        <v>33</v>
      </c>
      <c r="D355" s="3">
        <v>43555</v>
      </c>
      <c r="E355">
        <v>31.902135854341701</v>
      </c>
      <c r="F355">
        <v>70.116318681254796</v>
      </c>
      <c r="G355">
        <v>56.856571714142902</v>
      </c>
      <c r="H355">
        <v>56.675868577208398</v>
      </c>
      <c r="I355">
        <v>33400</v>
      </c>
      <c r="J355">
        <v>66.6666666666666</v>
      </c>
      <c r="K355">
        <v>11</v>
      </c>
      <c r="L355" t="b">
        <v>1</v>
      </c>
      <c r="M355" s="2" t="s">
        <v>100</v>
      </c>
      <c r="N355" s="2" t="s">
        <v>100</v>
      </c>
      <c r="O355" t="b">
        <v>1</v>
      </c>
      <c r="P355" s="2" t="s">
        <v>100</v>
      </c>
      <c r="Q355">
        <v>80.269779293880703</v>
      </c>
      <c r="R355" s="2" t="s">
        <v>100</v>
      </c>
      <c r="S355">
        <v>27.6315789473684</v>
      </c>
      <c r="T355">
        <v>0.34</v>
      </c>
      <c r="U355">
        <v>76</v>
      </c>
      <c r="V355" t="b">
        <v>0</v>
      </c>
      <c r="W355" t="b">
        <v>1</v>
      </c>
      <c r="X355">
        <v>56.818181818181799</v>
      </c>
    </row>
    <row r="356" spans="3:24" x14ac:dyDescent="0.35">
      <c r="C356" s="2" t="s">
        <v>33</v>
      </c>
      <c r="D356" s="3">
        <v>43190</v>
      </c>
      <c r="E356">
        <v>30.393107908351698</v>
      </c>
      <c r="F356">
        <v>70.835873115450397</v>
      </c>
      <c r="G356">
        <v>52.086247086247099</v>
      </c>
      <c r="H356">
        <v>55.032288971138698</v>
      </c>
      <c r="I356">
        <v>36900</v>
      </c>
      <c r="J356">
        <v>63.636363636363598</v>
      </c>
      <c r="K356">
        <v>11</v>
      </c>
      <c r="L356" t="b">
        <v>1</v>
      </c>
      <c r="M356" s="2" t="s">
        <v>100</v>
      </c>
      <c r="N356" s="2" t="s">
        <v>100</v>
      </c>
      <c r="O356" t="b">
        <v>1</v>
      </c>
      <c r="P356" s="2" t="s">
        <v>100</v>
      </c>
      <c r="Q356">
        <v>82.220517481419506</v>
      </c>
      <c r="R356" s="2" t="s">
        <v>100</v>
      </c>
      <c r="S356">
        <v>28.7878787878787</v>
      </c>
      <c r="T356">
        <v>0.52</v>
      </c>
      <c r="U356">
        <v>75</v>
      </c>
      <c r="V356" t="b">
        <v>0</v>
      </c>
      <c r="W356" t="b">
        <v>1</v>
      </c>
      <c r="X356">
        <v>57.968127490039798</v>
      </c>
    </row>
    <row r="357" spans="3:24" x14ac:dyDescent="0.35">
      <c r="C357" s="2" t="s">
        <v>33</v>
      </c>
      <c r="D357" s="3">
        <v>42825</v>
      </c>
      <c r="E357">
        <v>33.651911468812798</v>
      </c>
      <c r="F357">
        <v>72.417324156454498</v>
      </c>
      <c r="G357">
        <v>78.461538461538396</v>
      </c>
      <c r="H357">
        <v>65.334332694275801</v>
      </c>
      <c r="I357">
        <v>41400</v>
      </c>
      <c r="J357">
        <v>63.636363636363598</v>
      </c>
      <c r="K357">
        <v>10</v>
      </c>
      <c r="L357" t="b">
        <v>1</v>
      </c>
      <c r="M357" s="2" t="s">
        <v>100</v>
      </c>
      <c r="N357" s="2" t="s">
        <v>100</v>
      </c>
      <c r="O357" t="b">
        <v>1</v>
      </c>
      <c r="P357" s="2" t="s">
        <v>100</v>
      </c>
      <c r="Q357">
        <v>85.960763534790999</v>
      </c>
      <c r="R357" s="2" t="s">
        <v>100</v>
      </c>
      <c r="S357">
        <v>30.357142857142801</v>
      </c>
      <c r="T357">
        <v>0.52</v>
      </c>
      <c r="U357" s="2" t="s">
        <v>100</v>
      </c>
      <c r="V357" t="b">
        <v>0</v>
      </c>
      <c r="W357" t="b">
        <v>1</v>
      </c>
      <c r="X357">
        <v>60.360360360360303</v>
      </c>
    </row>
    <row r="358" spans="3:24" x14ac:dyDescent="0.35">
      <c r="C358" s="2" t="s">
        <v>33</v>
      </c>
      <c r="D358" s="3">
        <v>42460</v>
      </c>
      <c r="E358">
        <v>51.9936589374555</v>
      </c>
      <c r="F358">
        <v>55.432840699043602</v>
      </c>
      <c r="G358">
        <v>59.047619047619001</v>
      </c>
      <c r="H358">
        <v>55.838294431848603</v>
      </c>
      <c r="I358">
        <v>42400</v>
      </c>
      <c r="J358">
        <v>69.230769230769198</v>
      </c>
      <c r="K358">
        <v>10</v>
      </c>
      <c r="L358" t="b">
        <v>1</v>
      </c>
      <c r="M358" s="2" t="s">
        <v>100</v>
      </c>
      <c r="N358" s="2" t="s">
        <v>100</v>
      </c>
      <c r="O358" t="b">
        <v>1</v>
      </c>
      <c r="P358" s="2" t="s">
        <v>100</v>
      </c>
      <c r="Q358">
        <v>18.497865737530599</v>
      </c>
      <c r="R358" s="2" t="s">
        <v>100</v>
      </c>
      <c r="S358">
        <v>29.050279329608902</v>
      </c>
      <c r="T358">
        <v>0.8</v>
      </c>
      <c r="U358">
        <v>68</v>
      </c>
      <c r="V358" t="b">
        <v>1</v>
      </c>
      <c r="W358" t="b">
        <v>1</v>
      </c>
      <c r="X358">
        <v>59.701492537313399</v>
      </c>
    </row>
    <row r="359" spans="3:24" x14ac:dyDescent="0.35">
      <c r="C359" s="2" t="s">
        <v>34</v>
      </c>
      <c r="D359" s="3">
        <v>45747</v>
      </c>
      <c r="E359">
        <v>42.328365545431801</v>
      </c>
      <c r="F359">
        <v>68.953347781212301</v>
      </c>
      <c r="G359">
        <v>79.647523757309898</v>
      </c>
      <c r="H359">
        <v>61.883899230350103</v>
      </c>
      <c r="I359">
        <v>15332</v>
      </c>
      <c r="J359">
        <v>72.727272727272705</v>
      </c>
      <c r="K359">
        <v>10</v>
      </c>
      <c r="L359" t="b">
        <v>1</v>
      </c>
      <c r="M359">
        <v>6089</v>
      </c>
      <c r="N359" s="2" t="s">
        <v>100</v>
      </c>
      <c r="O359" t="b">
        <v>1</v>
      </c>
      <c r="P359" s="2" t="s">
        <v>100</v>
      </c>
      <c r="Q359">
        <v>69.909916611739803</v>
      </c>
      <c r="R359" t="b">
        <v>0</v>
      </c>
      <c r="S359">
        <v>77.428571428571402</v>
      </c>
      <c r="T359">
        <v>0.7</v>
      </c>
      <c r="U359">
        <v>73</v>
      </c>
      <c r="V359" t="b">
        <v>1</v>
      </c>
      <c r="W359" t="b">
        <v>1</v>
      </c>
      <c r="X359">
        <v>53.0386740331491</v>
      </c>
    </row>
    <row r="360" spans="3:24" x14ac:dyDescent="0.35">
      <c r="C360" s="2" t="s">
        <v>34</v>
      </c>
      <c r="D360" s="3">
        <v>45382</v>
      </c>
      <c r="E360">
        <v>43.738292058445701</v>
      </c>
      <c r="F360">
        <v>62.999140432639599</v>
      </c>
      <c r="G360">
        <v>74.042596518086697</v>
      </c>
      <c r="H360">
        <v>58.862496057958303</v>
      </c>
      <c r="I360">
        <v>14654</v>
      </c>
      <c r="J360">
        <v>69.230769230769198</v>
      </c>
      <c r="K360">
        <v>11</v>
      </c>
      <c r="L360" t="b">
        <v>1</v>
      </c>
      <c r="M360">
        <v>6841</v>
      </c>
      <c r="N360" s="2" t="s">
        <v>100</v>
      </c>
      <c r="O360" t="b">
        <v>1</v>
      </c>
      <c r="P360" s="2" t="s">
        <v>100</v>
      </c>
      <c r="Q360">
        <v>70.2374273937494</v>
      </c>
      <c r="R360" t="b">
        <v>0</v>
      </c>
      <c r="S360">
        <v>80.635838150289004</v>
      </c>
      <c r="T360">
        <v>0.501</v>
      </c>
      <c r="U360">
        <v>72</v>
      </c>
      <c r="V360" t="b">
        <v>1</v>
      </c>
      <c r="W360" t="b">
        <v>1</v>
      </c>
      <c r="X360">
        <v>54.419889502762402</v>
      </c>
    </row>
    <row r="361" spans="3:24" x14ac:dyDescent="0.35">
      <c r="C361" s="2" t="s">
        <v>34</v>
      </c>
      <c r="D361" s="3">
        <v>45016</v>
      </c>
      <c r="E361">
        <v>45.999504804536201</v>
      </c>
      <c r="F361">
        <v>63.848236903658503</v>
      </c>
      <c r="G361">
        <v>70.844664305859595</v>
      </c>
      <c r="H361">
        <v>59.058012964744798</v>
      </c>
      <c r="I361">
        <v>14091</v>
      </c>
      <c r="J361">
        <v>63.636363636363598</v>
      </c>
      <c r="K361">
        <v>11</v>
      </c>
      <c r="L361" t="b">
        <v>1</v>
      </c>
      <c r="M361">
        <v>6937</v>
      </c>
      <c r="N361" s="2" t="s">
        <v>100</v>
      </c>
      <c r="O361" t="b">
        <v>1</v>
      </c>
      <c r="P361" s="2" t="s">
        <v>100</v>
      </c>
      <c r="Q361">
        <v>71.154811864450707</v>
      </c>
      <c r="R361" t="b">
        <v>0</v>
      </c>
      <c r="S361">
        <v>80.421686746987902</v>
      </c>
      <c r="T361">
        <v>0.8</v>
      </c>
      <c r="U361">
        <v>76</v>
      </c>
      <c r="V361" t="b">
        <v>1</v>
      </c>
      <c r="W361" t="b">
        <v>1</v>
      </c>
      <c r="X361">
        <v>56</v>
      </c>
    </row>
    <row r="362" spans="3:24" x14ac:dyDescent="0.35">
      <c r="C362" s="2" t="s">
        <v>34</v>
      </c>
      <c r="D362" s="3">
        <v>44651</v>
      </c>
      <c r="E362">
        <v>48.3760316651911</v>
      </c>
      <c r="F362">
        <v>56.735492450115501</v>
      </c>
      <c r="G362">
        <v>85.109547047047002</v>
      </c>
      <c r="H362">
        <v>61.9099029653459</v>
      </c>
      <c r="I362">
        <v>14967</v>
      </c>
      <c r="J362">
        <v>75</v>
      </c>
      <c r="K362">
        <v>10</v>
      </c>
      <c r="L362" t="b">
        <v>1</v>
      </c>
      <c r="M362">
        <v>5715</v>
      </c>
      <c r="N362" s="2" t="s">
        <v>100</v>
      </c>
      <c r="O362" t="b">
        <v>1</v>
      </c>
      <c r="P362" s="2" t="s">
        <v>100</v>
      </c>
      <c r="Q362">
        <v>73.521960578472303</v>
      </c>
      <c r="R362" t="b">
        <v>0</v>
      </c>
      <c r="S362">
        <v>87.025316455696199</v>
      </c>
      <c r="T362">
        <v>0.9</v>
      </c>
      <c r="U362">
        <v>76</v>
      </c>
      <c r="V362" t="b">
        <v>1</v>
      </c>
      <c r="W362" t="b">
        <v>1</v>
      </c>
      <c r="X362">
        <v>59.302325581395301</v>
      </c>
    </row>
    <row r="363" spans="3:24" x14ac:dyDescent="0.35">
      <c r="C363" s="2" t="s">
        <v>34</v>
      </c>
      <c r="D363" s="3">
        <v>44286</v>
      </c>
      <c r="E363">
        <v>49.853479853479797</v>
      </c>
      <c r="F363">
        <v>48.3362901539506</v>
      </c>
      <c r="G363">
        <v>85.829477641676107</v>
      </c>
      <c r="H363">
        <v>60.0009800348708</v>
      </c>
      <c r="I363">
        <v>14821</v>
      </c>
      <c r="J363">
        <v>63.636363636363598</v>
      </c>
      <c r="K363">
        <v>10</v>
      </c>
      <c r="L363" t="b">
        <v>1</v>
      </c>
      <c r="M363">
        <v>4595</v>
      </c>
      <c r="N363" s="2" t="s">
        <v>100</v>
      </c>
      <c r="O363" t="b">
        <v>1</v>
      </c>
      <c r="P363" s="2" t="s">
        <v>100</v>
      </c>
      <c r="Q363">
        <v>75.621147307915805</v>
      </c>
      <c r="R363" t="b">
        <v>0</v>
      </c>
      <c r="S363">
        <v>9.2592592592592506</v>
      </c>
      <c r="T363">
        <v>0.2</v>
      </c>
      <c r="U363">
        <v>78</v>
      </c>
      <c r="V363" t="b">
        <v>1</v>
      </c>
      <c r="W363" t="b">
        <v>1</v>
      </c>
      <c r="X363">
        <v>56.9444444444444</v>
      </c>
    </row>
    <row r="364" spans="3:24" x14ac:dyDescent="0.35">
      <c r="C364" s="2" t="s">
        <v>34</v>
      </c>
      <c r="D364" s="3">
        <v>43921</v>
      </c>
      <c r="E364">
        <v>47.908139685356602</v>
      </c>
      <c r="F364">
        <v>54.925250293260099</v>
      </c>
      <c r="G364">
        <v>84.214489214489205</v>
      </c>
      <c r="H364">
        <v>60.885938509305703</v>
      </c>
      <c r="I364">
        <v>17134</v>
      </c>
      <c r="J364">
        <v>60</v>
      </c>
      <c r="K364">
        <v>10</v>
      </c>
      <c r="L364" t="b">
        <v>1</v>
      </c>
      <c r="M364">
        <v>45603</v>
      </c>
      <c r="N364" s="2" t="s">
        <v>100</v>
      </c>
      <c r="O364" t="b">
        <v>1</v>
      </c>
      <c r="P364" s="2" t="s">
        <v>100</v>
      </c>
      <c r="Q364">
        <v>78.200069035947806</v>
      </c>
      <c r="R364" t="b">
        <v>0</v>
      </c>
      <c r="S364">
        <v>12.096774193548301</v>
      </c>
      <c r="T364">
        <v>0.6</v>
      </c>
      <c r="U364">
        <v>75</v>
      </c>
      <c r="V364" t="b">
        <v>1</v>
      </c>
      <c r="W364" t="b">
        <v>1</v>
      </c>
      <c r="X364">
        <v>59.328358208955201</v>
      </c>
    </row>
    <row r="365" spans="3:24" x14ac:dyDescent="0.35">
      <c r="C365" s="2" t="s">
        <v>34</v>
      </c>
      <c r="D365" s="3">
        <v>43555</v>
      </c>
      <c r="E365">
        <v>41.392476918792603</v>
      </c>
      <c r="F365">
        <v>68.279122802011699</v>
      </c>
      <c r="G365">
        <v>67.367746405681601</v>
      </c>
      <c r="H365">
        <v>57.678921015455501</v>
      </c>
      <c r="I365">
        <v>17881</v>
      </c>
      <c r="J365">
        <v>54.545454545454497</v>
      </c>
      <c r="K365">
        <v>10</v>
      </c>
      <c r="L365" t="b">
        <v>1</v>
      </c>
      <c r="M365">
        <v>42034</v>
      </c>
      <c r="N365" s="2" t="s">
        <v>100</v>
      </c>
      <c r="O365" t="b">
        <v>1</v>
      </c>
      <c r="P365" s="2" t="s">
        <v>100</v>
      </c>
      <c r="Q365">
        <v>80.269779293880703</v>
      </c>
      <c r="R365" t="b">
        <v>0</v>
      </c>
      <c r="S365">
        <v>7.7669902912621298</v>
      </c>
      <c r="T365">
        <v>0.9</v>
      </c>
      <c r="U365">
        <v>75</v>
      </c>
      <c r="V365" t="b">
        <v>1</v>
      </c>
      <c r="W365" t="b">
        <v>1</v>
      </c>
      <c r="X365">
        <v>59.821428571428498</v>
      </c>
    </row>
    <row r="366" spans="3:24" x14ac:dyDescent="0.35">
      <c r="C366" s="2" t="s">
        <v>34</v>
      </c>
      <c r="D366" s="3">
        <v>43190</v>
      </c>
      <c r="E366">
        <v>37.9177561825963</v>
      </c>
      <c r="F366">
        <v>67.276366626719593</v>
      </c>
      <c r="G366">
        <v>62.8176432862385</v>
      </c>
      <c r="H366">
        <v>54.677869015534903</v>
      </c>
      <c r="I366">
        <v>18814</v>
      </c>
      <c r="J366">
        <v>60</v>
      </c>
      <c r="K366">
        <v>10</v>
      </c>
      <c r="L366" t="b">
        <v>1</v>
      </c>
      <c r="M366">
        <v>48485</v>
      </c>
      <c r="N366" s="2" t="s">
        <v>100</v>
      </c>
      <c r="O366" t="b">
        <v>1</v>
      </c>
      <c r="P366" s="2" t="s">
        <v>100</v>
      </c>
      <c r="Q366">
        <v>82.220517481419506</v>
      </c>
      <c r="R366" s="2" t="s">
        <v>100</v>
      </c>
      <c r="S366">
        <v>7.6923076923076898</v>
      </c>
      <c r="T366">
        <v>0.4</v>
      </c>
      <c r="U366" s="2" t="s">
        <v>100</v>
      </c>
      <c r="V366" t="b">
        <v>0</v>
      </c>
      <c r="W366" t="b">
        <v>1</v>
      </c>
      <c r="X366">
        <v>59.8958333333333</v>
      </c>
    </row>
    <row r="367" spans="3:24" x14ac:dyDescent="0.35">
      <c r="C367" s="2" t="s">
        <v>34</v>
      </c>
      <c r="D367" s="3">
        <v>42826</v>
      </c>
      <c r="E367">
        <v>38.346582495518597</v>
      </c>
      <c r="F367">
        <v>54.386454674586197</v>
      </c>
      <c r="G367">
        <v>61.937334249609698</v>
      </c>
      <c r="H367">
        <v>50.455138145197701</v>
      </c>
      <c r="I367">
        <v>19026</v>
      </c>
      <c r="J367">
        <v>63.636363636363598</v>
      </c>
      <c r="K367">
        <v>10</v>
      </c>
      <c r="L367" t="b">
        <v>1</v>
      </c>
      <c r="M367">
        <v>45970</v>
      </c>
      <c r="N367" s="2" t="s">
        <v>100</v>
      </c>
      <c r="O367" t="b">
        <v>1</v>
      </c>
      <c r="P367" s="2" t="s">
        <v>100</v>
      </c>
      <c r="Q367">
        <v>85.960763534790999</v>
      </c>
      <c r="R367" s="2" t="s">
        <v>100</v>
      </c>
      <c r="S367">
        <v>21.7948717948717</v>
      </c>
      <c r="T367">
        <v>1.2</v>
      </c>
      <c r="U367" s="2" t="s">
        <v>100</v>
      </c>
      <c r="V367" t="b">
        <v>0</v>
      </c>
      <c r="W367" t="b">
        <v>1</v>
      </c>
      <c r="X367">
        <v>63.3720930232558</v>
      </c>
    </row>
    <row r="368" spans="3:24" x14ac:dyDescent="0.35">
      <c r="C368" s="2" t="s">
        <v>34</v>
      </c>
      <c r="D368" s="3">
        <v>42462</v>
      </c>
      <c r="E368">
        <v>44.325476791707203</v>
      </c>
      <c r="F368">
        <v>60.029208993531697</v>
      </c>
      <c r="G368">
        <v>73.324639841033303</v>
      </c>
      <c r="H368">
        <v>57.924946624604502</v>
      </c>
      <c r="I368">
        <v>19038</v>
      </c>
      <c r="J368">
        <v>58.3333333333333</v>
      </c>
      <c r="K368">
        <v>10</v>
      </c>
      <c r="L368" t="b">
        <v>1</v>
      </c>
      <c r="M368">
        <v>36332</v>
      </c>
      <c r="N368" s="2" t="s">
        <v>100</v>
      </c>
      <c r="O368" t="b">
        <v>1</v>
      </c>
      <c r="P368" s="2" t="s">
        <v>100</v>
      </c>
      <c r="Q368">
        <v>86.761782529177495</v>
      </c>
      <c r="R368" s="2" t="s">
        <v>100</v>
      </c>
      <c r="S368">
        <v>21.206225680933802</v>
      </c>
      <c r="T368">
        <v>1.1000000000000001</v>
      </c>
      <c r="U368" s="2" t="s">
        <v>100</v>
      </c>
      <c r="V368" t="b">
        <v>1</v>
      </c>
      <c r="W368" t="b">
        <v>1</v>
      </c>
      <c r="X368">
        <v>59.558823529411697</v>
      </c>
    </row>
    <row r="369" spans="3:24" x14ac:dyDescent="0.35">
      <c r="C369" s="2" t="s">
        <v>34</v>
      </c>
      <c r="D369" s="3">
        <v>42825</v>
      </c>
      <c r="E369" s="2" t="s">
        <v>100</v>
      </c>
      <c r="F369" s="2" t="s">
        <v>100</v>
      </c>
      <c r="G369" s="2" t="s">
        <v>100</v>
      </c>
      <c r="H369" s="2" t="s">
        <v>100</v>
      </c>
      <c r="I369" s="2" t="s">
        <v>100</v>
      </c>
      <c r="J369" s="2" t="s">
        <v>100</v>
      </c>
      <c r="K369" s="2" t="s">
        <v>100</v>
      </c>
      <c r="L369" s="2" t="s">
        <v>100</v>
      </c>
      <c r="M369" s="2" t="s">
        <v>100</v>
      </c>
      <c r="N369" s="2" t="s">
        <v>100</v>
      </c>
      <c r="O369" s="2" t="s">
        <v>100</v>
      </c>
      <c r="P369" s="2" t="s">
        <v>100</v>
      </c>
      <c r="Q369" s="2" t="s">
        <v>100</v>
      </c>
      <c r="R369" s="2" t="s">
        <v>100</v>
      </c>
      <c r="S369" s="2" t="s">
        <v>100</v>
      </c>
      <c r="T369" s="2" t="s">
        <v>100</v>
      </c>
      <c r="U369" s="2" t="s">
        <v>100</v>
      </c>
      <c r="V369" s="2" t="s">
        <v>100</v>
      </c>
      <c r="W369" s="2" t="s">
        <v>100</v>
      </c>
      <c r="X369" s="2" t="s">
        <v>100</v>
      </c>
    </row>
    <row r="370" spans="3:24" x14ac:dyDescent="0.35">
      <c r="C370" s="2" t="s">
        <v>34</v>
      </c>
      <c r="D370" s="3">
        <v>42460</v>
      </c>
      <c r="E370" s="2" t="s">
        <v>100</v>
      </c>
      <c r="F370" s="2" t="s">
        <v>100</v>
      </c>
      <c r="G370" s="2" t="s">
        <v>100</v>
      </c>
      <c r="H370" s="2" t="s">
        <v>100</v>
      </c>
      <c r="I370" s="2" t="s">
        <v>100</v>
      </c>
      <c r="J370" s="2" t="s">
        <v>100</v>
      </c>
      <c r="K370" s="2" t="s">
        <v>100</v>
      </c>
      <c r="L370" s="2" t="s">
        <v>100</v>
      </c>
      <c r="M370" s="2" t="s">
        <v>100</v>
      </c>
      <c r="N370" s="2" t="s">
        <v>100</v>
      </c>
      <c r="O370" s="2" t="s">
        <v>100</v>
      </c>
      <c r="P370" s="2" t="s">
        <v>100</v>
      </c>
      <c r="Q370" s="2" t="s">
        <v>100</v>
      </c>
      <c r="R370" s="2" t="s">
        <v>100</v>
      </c>
      <c r="S370" s="2" t="s">
        <v>100</v>
      </c>
      <c r="T370" s="2" t="s">
        <v>100</v>
      </c>
      <c r="U370" s="2" t="s">
        <v>100</v>
      </c>
      <c r="V370" s="2" t="s">
        <v>100</v>
      </c>
      <c r="W370" s="2" t="s">
        <v>100</v>
      </c>
      <c r="X370" s="2" t="s">
        <v>100</v>
      </c>
    </row>
    <row r="371" spans="3:24" x14ac:dyDescent="0.35">
      <c r="C371" s="2" t="s">
        <v>35</v>
      </c>
      <c r="D371" s="3">
        <v>45657</v>
      </c>
      <c r="E371">
        <v>67.647862209421803</v>
      </c>
      <c r="F371">
        <v>67.225720549430505</v>
      </c>
      <c r="G371">
        <v>43.316919861037398</v>
      </c>
      <c r="H371">
        <v>59.585682015632102</v>
      </c>
      <c r="I371">
        <v>372150</v>
      </c>
      <c r="J371">
        <v>53.846153846153797</v>
      </c>
      <c r="K371">
        <v>12</v>
      </c>
      <c r="L371" t="b">
        <v>1</v>
      </c>
      <c r="M371">
        <v>60257</v>
      </c>
      <c r="N371" s="2" t="s">
        <v>100</v>
      </c>
      <c r="O371" t="b">
        <v>1</v>
      </c>
      <c r="P371" s="2" t="s">
        <v>100</v>
      </c>
      <c r="Q371">
        <v>70.2374273937494</v>
      </c>
      <c r="R371" t="b">
        <v>0</v>
      </c>
      <c r="S371">
        <v>82.945736434108497</v>
      </c>
      <c r="T371">
        <v>1.1100000000000001</v>
      </c>
      <c r="U371" s="2" t="s">
        <v>100</v>
      </c>
      <c r="V371" t="b">
        <v>1</v>
      </c>
      <c r="W371" t="b">
        <v>1</v>
      </c>
      <c r="X371">
        <v>52.307692307692299</v>
      </c>
    </row>
    <row r="372" spans="3:24" x14ac:dyDescent="0.35">
      <c r="C372" s="2" t="s">
        <v>35</v>
      </c>
      <c r="D372" s="3">
        <v>45291</v>
      </c>
      <c r="E372">
        <v>67.380838762825604</v>
      </c>
      <c r="F372">
        <v>67.547976841009501</v>
      </c>
      <c r="G372">
        <v>40.031988033772102</v>
      </c>
      <c r="H372">
        <v>58.600242647442897</v>
      </c>
      <c r="I372">
        <v>350817</v>
      </c>
      <c r="J372">
        <v>60</v>
      </c>
      <c r="K372">
        <v>14</v>
      </c>
      <c r="L372" t="b">
        <v>1</v>
      </c>
      <c r="M372">
        <v>67790</v>
      </c>
      <c r="N372" s="2" t="s">
        <v>100</v>
      </c>
      <c r="O372" t="b">
        <v>1</v>
      </c>
      <c r="P372" s="2" t="s">
        <v>100</v>
      </c>
      <c r="Q372">
        <v>71.154811864450707</v>
      </c>
      <c r="R372" t="b">
        <v>0</v>
      </c>
      <c r="S372">
        <v>83.730158730158706</v>
      </c>
      <c r="T372">
        <v>1.1299999999999999</v>
      </c>
      <c r="U372" s="2" t="s">
        <v>100</v>
      </c>
      <c r="V372" t="b">
        <v>1</v>
      </c>
      <c r="W372" t="b">
        <v>1</v>
      </c>
      <c r="X372">
        <v>55.078125</v>
      </c>
    </row>
    <row r="373" spans="3:24" x14ac:dyDescent="0.35">
      <c r="C373" s="2" t="s">
        <v>35</v>
      </c>
      <c r="D373" s="3">
        <v>44926</v>
      </c>
      <c r="E373">
        <v>79.885444743935295</v>
      </c>
      <c r="F373">
        <v>69.457320520067697</v>
      </c>
      <c r="G373">
        <v>58.535785785785698</v>
      </c>
      <c r="H373">
        <v>68.397313587297504</v>
      </c>
      <c r="I373">
        <v>394271</v>
      </c>
      <c r="J373">
        <v>68.75</v>
      </c>
      <c r="K373">
        <v>14</v>
      </c>
      <c r="L373" t="b">
        <v>1</v>
      </c>
      <c r="M373">
        <v>47485</v>
      </c>
      <c r="N373" s="2" t="s">
        <v>100</v>
      </c>
      <c r="O373" t="b">
        <v>1</v>
      </c>
      <c r="P373" s="2" t="s">
        <v>100</v>
      </c>
      <c r="Q373">
        <v>73.521960578472303</v>
      </c>
      <c r="R373" t="b">
        <v>0</v>
      </c>
      <c r="S373">
        <v>83.189655172413694</v>
      </c>
      <c r="T373">
        <v>1.21</v>
      </c>
      <c r="U373" s="2" t="s">
        <v>100</v>
      </c>
      <c r="V373" t="b">
        <v>1</v>
      </c>
      <c r="W373" t="b">
        <v>1</v>
      </c>
      <c r="X373">
        <v>58.8</v>
      </c>
    </row>
    <row r="374" spans="3:24" x14ac:dyDescent="0.35">
      <c r="C374" s="2" t="s">
        <v>35</v>
      </c>
      <c r="D374" s="3">
        <v>44561</v>
      </c>
      <c r="E374">
        <v>70.563569809280196</v>
      </c>
      <c r="F374">
        <v>68.021747529944093</v>
      </c>
      <c r="G374">
        <v>72.305812992313605</v>
      </c>
      <c r="H374">
        <v>70.0121294078197</v>
      </c>
      <c r="I374">
        <v>410976</v>
      </c>
      <c r="J374">
        <v>71.428571428571402</v>
      </c>
      <c r="K374">
        <v>14</v>
      </c>
      <c r="L374" t="b">
        <v>1</v>
      </c>
      <c r="M374">
        <v>50437</v>
      </c>
      <c r="N374" s="2" t="s">
        <v>100</v>
      </c>
      <c r="O374" t="b">
        <v>1</v>
      </c>
      <c r="P374" s="2" t="s">
        <v>100</v>
      </c>
      <c r="Q374">
        <v>75.621147307915805</v>
      </c>
      <c r="R374" t="b">
        <v>0</v>
      </c>
      <c r="S374">
        <v>80.303030303030297</v>
      </c>
      <c r="T374">
        <v>0.95</v>
      </c>
      <c r="U374" s="2" t="s">
        <v>100</v>
      </c>
      <c r="V374" t="b">
        <v>1</v>
      </c>
      <c r="W374" t="b">
        <v>1</v>
      </c>
      <c r="X374">
        <v>60.185185185185098</v>
      </c>
    </row>
    <row r="375" spans="3:24" x14ac:dyDescent="0.35">
      <c r="C375" s="2" t="s">
        <v>35</v>
      </c>
      <c r="D375" s="3">
        <v>44196</v>
      </c>
      <c r="E375">
        <v>72.776188699581297</v>
      </c>
      <c r="F375">
        <v>66.970069490717506</v>
      </c>
      <c r="G375">
        <v>79.243386243386198</v>
      </c>
      <c r="H375">
        <v>72.321876596923204</v>
      </c>
      <c r="I375">
        <v>487397</v>
      </c>
      <c r="J375">
        <v>68.75</v>
      </c>
      <c r="K375">
        <v>13</v>
      </c>
      <c r="L375" t="b">
        <v>1</v>
      </c>
      <c r="M375">
        <v>55133</v>
      </c>
      <c r="N375" s="2" t="s">
        <v>100</v>
      </c>
      <c r="O375" t="b">
        <v>1</v>
      </c>
      <c r="P375" s="2" t="s">
        <v>100</v>
      </c>
      <c r="Q375">
        <v>78.200069035947806</v>
      </c>
      <c r="R375" t="b">
        <v>0</v>
      </c>
      <c r="S375">
        <v>84.782608695652101</v>
      </c>
      <c r="T375">
        <v>0.78</v>
      </c>
      <c r="U375" s="2" t="s">
        <v>100</v>
      </c>
      <c r="V375" t="b">
        <v>1</v>
      </c>
      <c r="W375" t="b">
        <v>1</v>
      </c>
      <c r="X375">
        <v>61.792452830188601</v>
      </c>
    </row>
    <row r="376" spans="3:24" x14ac:dyDescent="0.35">
      <c r="C376" s="2" t="s">
        <v>35</v>
      </c>
      <c r="D376" s="3">
        <v>43830</v>
      </c>
      <c r="E376">
        <v>61.694386694386701</v>
      </c>
      <c r="F376">
        <v>69.956890741489602</v>
      </c>
      <c r="G376">
        <v>91.368381546278599</v>
      </c>
      <c r="H376">
        <v>74.927066659914701</v>
      </c>
      <c r="I376">
        <v>965436</v>
      </c>
      <c r="J376">
        <v>76.923076923076906</v>
      </c>
      <c r="K376">
        <v>12</v>
      </c>
      <c r="L376" t="b">
        <v>1</v>
      </c>
      <c r="M376">
        <v>156268</v>
      </c>
      <c r="N376" s="2" t="s">
        <v>100</v>
      </c>
      <c r="O376" t="b">
        <v>1</v>
      </c>
      <c r="P376" s="2" t="s">
        <v>100</v>
      </c>
      <c r="Q376">
        <v>80.269779293880703</v>
      </c>
      <c r="R376" t="b">
        <v>0</v>
      </c>
      <c r="S376">
        <v>83.3333333333333</v>
      </c>
      <c r="T376">
        <v>0.95</v>
      </c>
      <c r="U376" s="2" t="s">
        <v>100</v>
      </c>
      <c r="V376" t="b">
        <v>1</v>
      </c>
      <c r="W376" t="b">
        <v>1</v>
      </c>
      <c r="X376">
        <v>59.139784946236503</v>
      </c>
    </row>
    <row r="377" spans="3:24" x14ac:dyDescent="0.35">
      <c r="C377" s="2" t="s">
        <v>35</v>
      </c>
      <c r="D377" s="3">
        <v>43465</v>
      </c>
      <c r="E377">
        <v>59.733468839130502</v>
      </c>
      <c r="F377">
        <v>71.893925906005194</v>
      </c>
      <c r="G377">
        <v>79.436190519560796</v>
      </c>
      <c r="H377">
        <v>71.448651261423393</v>
      </c>
      <c r="I377">
        <v>1020435</v>
      </c>
      <c r="J377">
        <v>72.727272727272705</v>
      </c>
      <c r="K377">
        <v>11</v>
      </c>
      <c r="L377" t="b">
        <v>1</v>
      </c>
      <c r="M377" s="2" t="s">
        <v>100</v>
      </c>
      <c r="N377" s="2" t="s">
        <v>100</v>
      </c>
      <c r="O377" t="b">
        <v>1</v>
      </c>
      <c r="P377" s="2" t="s">
        <v>100</v>
      </c>
      <c r="Q377">
        <v>82.220517481419506</v>
      </c>
      <c r="R377" t="b">
        <v>0</v>
      </c>
      <c r="S377">
        <v>87.012987012986997</v>
      </c>
      <c r="T377">
        <v>0.216</v>
      </c>
      <c r="U377" s="2" t="s">
        <v>100</v>
      </c>
      <c r="V377" t="b">
        <v>1</v>
      </c>
      <c r="W377" t="b">
        <v>1</v>
      </c>
      <c r="X377">
        <v>56.172839506172799</v>
      </c>
    </row>
    <row r="378" spans="3:24" x14ac:dyDescent="0.35">
      <c r="C378" s="2" t="s">
        <v>35</v>
      </c>
      <c r="D378" s="3">
        <v>43100</v>
      </c>
      <c r="E378">
        <v>61.270278543005801</v>
      </c>
      <c r="F378">
        <v>66.688836161441799</v>
      </c>
      <c r="G378">
        <v>80.716891839235998</v>
      </c>
      <c r="H378">
        <v>69.943872881530595</v>
      </c>
      <c r="I378">
        <v>1053443</v>
      </c>
      <c r="J378">
        <v>63.636363636363598</v>
      </c>
      <c r="K378">
        <v>10</v>
      </c>
      <c r="L378" t="b">
        <v>1</v>
      </c>
      <c r="M378" s="2" t="s">
        <v>100</v>
      </c>
      <c r="N378" s="2" t="s">
        <v>100</v>
      </c>
      <c r="O378" t="b">
        <v>1</v>
      </c>
      <c r="P378" s="2" t="s">
        <v>100</v>
      </c>
      <c r="Q378">
        <v>85.960763534790999</v>
      </c>
      <c r="R378" s="2" t="s">
        <v>100</v>
      </c>
      <c r="S378">
        <v>88.815789473684205</v>
      </c>
      <c r="T378">
        <v>0.16800000000000001</v>
      </c>
      <c r="U378" s="2" t="s">
        <v>100</v>
      </c>
      <c r="V378" t="b">
        <v>1</v>
      </c>
      <c r="W378" t="b">
        <v>1</v>
      </c>
      <c r="X378">
        <v>60</v>
      </c>
    </row>
    <row r="379" spans="3:24" x14ac:dyDescent="0.35">
      <c r="C379" s="2" t="s">
        <v>35</v>
      </c>
      <c r="D379" s="3">
        <v>42735</v>
      </c>
      <c r="E379">
        <v>57.067322456338403</v>
      </c>
      <c r="F379">
        <v>63.323216762850699</v>
      </c>
      <c r="G379">
        <v>58.8175470552519</v>
      </c>
      <c r="H379">
        <v>60.379334396254599</v>
      </c>
      <c r="I379">
        <v>1151739</v>
      </c>
      <c r="J379">
        <v>63.636363636363598</v>
      </c>
      <c r="K379">
        <v>11</v>
      </c>
      <c r="L379" t="b">
        <v>1</v>
      </c>
      <c r="M379" s="2" t="s">
        <v>100</v>
      </c>
      <c r="N379" s="2" t="s">
        <v>100</v>
      </c>
      <c r="O379" t="b">
        <v>1</v>
      </c>
      <c r="P379" s="2" t="s">
        <v>100</v>
      </c>
      <c r="Q379">
        <v>86.761782529177495</v>
      </c>
      <c r="R379" s="2" t="s">
        <v>100</v>
      </c>
      <c r="S379">
        <v>84.677419354838705</v>
      </c>
      <c r="T379">
        <v>0.23499999999999999</v>
      </c>
      <c r="U379" s="2" t="s">
        <v>100</v>
      </c>
      <c r="V379" t="b">
        <v>1</v>
      </c>
      <c r="W379" t="b">
        <v>1</v>
      </c>
      <c r="X379">
        <v>59.285714285714199</v>
      </c>
    </row>
    <row r="380" spans="3:24" x14ac:dyDescent="0.35">
      <c r="C380" s="2" t="s">
        <v>35</v>
      </c>
      <c r="D380" s="3">
        <v>42369</v>
      </c>
      <c r="E380">
        <v>65.936670428714507</v>
      </c>
      <c r="F380">
        <v>57.645911156582301</v>
      </c>
      <c r="G380">
        <v>78.7512072899315</v>
      </c>
      <c r="H380">
        <v>66.4468707391799</v>
      </c>
      <c r="I380">
        <v>1204391</v>
      </c>
      <c r="J380">
        <v>70</v>
      </c>
      <c r="K380">
        <v>9</v>
      </c>
      <c r="L380" t="b">
        <v>1</v>
      </c>
      <c r="M380" s="2" t="s">
        <v>100</v>
      </c>
      <c r="N380" s="2" t="s">
        <v>100</v>
      </c>
      <c r="O380" t="b">
        <v>1</v>
      </c>
      <c r="P380" s="2" t="s">
        <v>100</v>
      </c>
      <c r="Q380">
        <v>87.208323109393802</v>
      </c>
      <c r="R380" s="2" t="s">
        <v>100</v>
      </c>
      <c r="S380">
        <v>80.769230769230703</v>
      </c>
      <c r="T380">
        <v>0.35299999999999998</v>
      </c>
      <c r="U380" s="2" t="s">
        <v>100</v>
      </c>
      <c r="V380" t="b">
        <v>1</v>
      </c>
      <c r="W380" t="b">
        <v>1</v>
      </c>
      <c r="X380">
        <v>62.5</v>
      </c>
    </row>
    <row r="381" spans="3:24" x14ac:dyDescent="0.35">
      <c r="C381" s="2" t="s">
        <v>36</v>
      </c>
      <c r="D381" s="3">
        <v>46022</v>
      </c>
      <c r="E381">
        <v>94.152010113000003</v>
      </c>
      <c r="F381">
        <v>64.790209803150105</v>
      </c>
      <c r="G381">
        <v>81.991426047758196</v>
      </c>
      <c r="H381">
        <v>75.210746895827398</v>
      </c>
      <c r="I381">
        <v>275827</v>
      </c>
      <c r="J381">
        <v>85.714285714285694</v>
      </c>
      <c r="K381">
        <v>13</v>
      </c>
      <c r="L381" t="b">
        <v>1</v>
      </c>
      <c r="M381">
        <v>10000</v>
      </c>
      <c r="N381" s="2" t="s">
        <v>100</v>
      </c>
      <c r="O381" t="b">
        <v>1</v>
      </c>
      <c r="P381">
        <v>5674953.5999999996</v>
      </c>
      <c r="Q381">
        <v>69.909916611739803</v>
      </c>
      <c r="R381" t="b">
        <v>1</v>
      </c>
      <c r="S381">
        <v>25.553319919517101</v>
      </c>
      <c r="T381" s="2" t="s">
        <v>100</v>
      </c>
      <c r="U381">
        <v>78</v>
      </c>
      <c r="V381" t="b">
        <v>1</v>
      </c>
      <c r="W381" t="b">
        <v>1</v>
      </c>
      <c r="X381">
        <v>50.7944389275074</v>
      </c>
    </row>
    <row r="382" spans="3:24" x14ac:dyDescent="0.35">
      <c r="C382" s="2" t="s">
        <v>36</v>
      </c>
      <c r="D382" s="3">
        <v>45657</v>
      </c>
      <c r="E382">
        <v>94.363955408075597</v>
      </c>
      <c r="F382">
        <v>65.898231185521993</v>
      </c>
      <c r="G382">
        <v>75.876693687151203</v>
      </c>
      <c r="H382">
        <v>73.589541974156205</v>
      </c>
      <c r="I382">
        <v>297626</v>
      </c>
      <c r="J382">
        <v>86.6666666666666</v>
      </c>
      <c r="K382">
        <v>13</v>
      </c>
      <c r="L382" t="b">
        <v>1</v>
      </c>
      <c r="M382">
        <v>12000</v>
      </c>
      <c r="N382" s="2" t="s">
        <v>100</v>
      </c>
      <c r="O382" t="b">
        <v>1</v>
      </c>
      <c r="P382">
        <v>6350413.5999999996</v>
      </c>
      <c r="Q382">
        <v>70.2374273937494</v>
      </c>
      <c r="R382" t="b">
        <v>0</v>
      </c>
      <c r="S382">
        <v>25.9</v>
      </c>
      <c r="T382" s="2" t="s">
        <v>100</v>
      </c>
      <c r="U382">
        <v>80</v>
      </c>
      <c r="V382" t="b">
        <v>1</v>
      </c>
      <c r="W382" t="b">
        <v>1</v>
      </c>
      <c r="X382">
        <v>51.080550098231797</v>
      </c>
    </row>
    <row r="383" spans="3:24" x14ac:dyDescent="0.35">
      <c r="C383" s="2" t="s">
        <v>36</v>
      </c>
      <c r="D383" s="3">
        <v>45291</v>
      </c>
      <c r="E383">
        <v>83.026331222152507</v>
      </c>
      <c r="F383">
        <v>62.127768842984501</v>
      </c>
      <c r="G383">
        <v>72.580307986195507</v>
      </c>
      <c r="H383">
        <v>68.900075917140697</v>
      </c>
      <c r="I383">
        <v>348478</v>
      </c>
      <c r="J383">
        <v>87.5</v>
      </c>
      <c r="K383">
        <v>15</v>
      </c>
      <c r="L383" t="b">
        <v>1</v>
      </c>
      <c r="M383">
        <v>12000</v>
      </c>
      <c r="N383" s="2" t="s">
        <v>100</v>
      </c>
      <c r="O383" t="b">
        <v>1</v>
      </c>
      <c r="P383">
        <v>5384526.5999999996</v>
      </c>
      <c r="Q383">
        <v>71.154811864450707</v>
      </c>
      <c r="R383" t="b">
        <v>0</v>
      </c>
      <c r="S383">
        <v>25.952626158599301</v>
      </c>
      <c r="T383" s="2" t="s">
        <v>100</v>
      </c>
      <c r="U383">
        <v>77</v>
      </c>
      <c r="V383" t="b">
        <v>1</v>
      </c>
      <c r="W383" t="b">
        <v>1</v>
      </c>
      <c r="X383">
        <v>51.998001998002003</v>
      </c>
    </row>
    <row r="384" spans="3:24" x14ac:dyDescent="0.35">
      <c r="C384" s="2" t="s">
        <v>36</v>
      </c>
      <c r="D384" s="3">
        <v>44926</v>
      </c>
      <c r="E384">
        <v>83.879093510363205</v>
      </c>
      <c r="F384">
        <v>62.942915678760201</v>
      </c>
      <c r="G384">
        <v>74.576044794794697</v>
      </c>
      <c r="H384">
        <v>70.1456517682835</v>
      </c>
      <c r="I384">
        <v>366000</v>
      </c>
      <c r="J384">
        <v>85.714285714285694</v>
      </c>
      <c r="K384">
        <v>12</v>
      </c>
      <c r="L384" t="b">
        <v>1</v>
      </c>
      <c r="M384">
        <v>13000</v>
      </c>
      <c r="N384" s="2" t="s">
        <v>100</v>
      </c>
      <c r="O384" t="b">
        <v>1</v>
      </c>
      <c r="P384">
        <v>6444576</v>
      </c>
      <c r="Q384">
        <v>73.521960578472303</v>
      </c>
      <c r="R384" t="b">
        <v>0</v>
      </c>
      <c r="S384">
        <v>27.010309278350501</v>
      </c>
      <c r="T384" s="2" t="s">
        <v>100</v>
      </c>
      <c r="U384">
        <v>74</v>
      </c>
      <c r="V384" t="b">
        <v>1</v>
      </c>
      <c r="W384" t="b">
        <v>1</v>
      </c>
      <c r="X384">
        <v>52.667984189723299</v>
      </c>
    </row>
    <row r="385" spans="3:24" x14ac:dyDescent="0.35">
      <c r="C385" s="2" t="s">
        <v>36</v>
      </c>
      <c r="D385" s="3">
        <v>44561</v>
      </c>
      <c r="E385">
        <v>86.201455837168098</v>
      </c>
      <c r="F385">
        <v>69.882427838408105</v>
      </c>
      <c r="G385">
        <v>78.331692613479206</v>
      </c>
      <c r="H385">
        <v>75.274103189255101</v>
      </c>
      <c r="I385">
        <v>408000</v>
      </c>
      <c r="J385">
        <v>87.5</v>
      </c>
      <c r="K385">
        <v>13</v>
      </c>
      <c r="L385" t="b">
        <v>1</v>
      </c>
      <c r="M385">
        <v>13000</v>
      </c>
      <c r="N385" s="2" t="s">
        <v>100</v>
      </c>
      <c r="O385" t="b">
        <v>1</v>
      </c>
      <c r="P385">
        <v>6000477.9000000004</v>
      </c>
      <c r="Q385">
        <v>75.621147307915805</v>
      </c>
      <c r="R385" t="b">
        <v>0</v>
      </c>
      <c r="S385">
        <v>28.1950672645739</v>
      </c>
      <c r="T385" s="2" t="s">
        <v>100</v>
      </c>
      <c r="U385">
        <v>72</v>
      </c>
      <c r="V385" t="b">
        <v>1</v>
      </c>
      <c r="W385" t="b">
        <v>1</v>
      </c>
      <c r="X385">
        <v>53.922594142259399</v>
      </c>
    </row>
    <row r="386" spans="3:24" x14ac:dyDescent="0.35">
      <c r="C386" s="2" t="s">
        <v>36</v>
      </c>
      <c r="D386" s="3">
        <v>44196</v>
      </c>
      <c r="E386">
        <v>86.243227714506503</v>
      </c>
      <c r="F386">
        <v>72.099238301394294</v>
      </c>
      <c r="G386">
        <v>93.348392348392295</v>
      </c>
      <c r="H386">
        <v>81.7856682338018</v>
      </c>
      <c r="I386">
        <v>486000</v>
      </c>
      <c r="J386">
        <v>87.5</v>
      </c>
      <c r="K386">
        <v>14</v>
      </c>
      <c r="L386" t="b">
        <v>1</v>
      </c>
      <c r="M386">
        <v>17000</v>
      </c>
      <c r="N386" s="2" t="s">
        <v>100</v>
      </c>
      <c r="O386" t="b">
        <v>1</v>
      </c>
      <c r="P386">
        <v>5313920</v>
      </c>
      <c r="Q386">
        <v>78.200069035947806</v>
      </c>
      <c r="R386" t="b">
        <v>0</v>
      </c>
      <c r="S386">
        <v>29.792746113989601</v>
      </c>
      <c r="T386" s="2" t="s">
        <v>100</v>
      </c>
      <c r="U386">
        <v>72</v>
      </c>
      <c r="V386" t="b">
        <v>1</v>
      </c>
      <c r="W386" t="b">
        <v>1</v>
      </c>
      <c r="X386">
        <v>55.594405594405501</v>
      </c>
    </row>
    <row r="387" spans="3:24" x14ac:dyDescent="0.35">
      <c r="C387" s="2" t="s">
        <v>36</v>
      </c>
      <c r="D387" s="3">
        <v>43830</v>
      </c>
      <c r="E387">
        <v>95.498730759640196</v>
      </c>
      <c r="F387">
        <v>79.414151571778106</v>
      </c>
      <c r="G387">
        <v>89.929326173566594</v>
      </c>
      <c r="H387">
        <v>84.517072514521701</v>
      </c>
      <c r="I387">
        <v>527000</v>
      </c>
      <c r="J387">
        <v>75</v>
      </c>
      <c r="K387">
        <v>14</v>
      </c>
      <c r="L387" t="b">
        <v>1</v>
      </c>
      <c r="M387">
        <v>21000</v>
      </c>
      <c r="N387" s="2" t="s">
        <v>100</v>
      </c>
      <c r="O387" t="b">
        <v>1</v>
      </c>
      <c r="P387">
        <v>6500000</v>
      </c>
      <c r="Q387">
        <v>80.269779293880703</v>
      </c>
      <c r="R387" t="b">
        <v>0</v>
      </c>
      <c r="S387">
        <v>64.033942558746702</v>
      </c>
      <c r="T387" s="2" t="s">
        <v>100</v>
      </c>
      <c r="U387">
        <v>67</v>
      </c>
      <c r="V387" t="b">
        <v>1</v>
      </c>
      <c r="W387" t="b">
        <v>1</v>
      </c>
      <c r="X387">
        <v>54.151404151404101</v>
      </c>
    </row>
    <row r="388" spans="3:24" x14ac:dyDescent="0.35">
      <c r="C388" s="2" t="s">
        <v>36</v>
      </c>
      <c r="D388" s="3">
        <v>43465</v>
      </c>
      <c r="E388">
        <v>95.9991271138706</v>
      </c>
      <c r="F388">
        <v>81.002509059834793</v>
      </c>
      <c r="G388">
        <v>94.010193122867705</v>
      </c>
      <c r="H388">
        <v>86.838058448355298</v>
      </c>
      <c r="I388">
        <v>512972</v>
      </c>
      <c r="J388">
        <v>77.7777777777777</v>
      </c>
      <c r="K388">
        <v>14</v>
      </c>
      <c r="L388" t="b">
        <v>1</v>
      </c>
      <c r="M388">
        <v>23000</v>
      </c>
      <c r="N388" s="2" t="s">
        <v>100</v>
      </c>
      <c r="O388" t="b">
        <v>1</v>
      </c>
      <c r="P388">
        <v>6200000</v>
      </c>
      <c r="Q388">
        <v>82.220517481419506</v>
      </c>
      <c r="R388" t="b">
        <v>0</v>
      </c>
      <c r="S388">
        <v>64.866863905325403</v>
      </c>
      <c r="T388" s="2" t="s">
        <v>100</v>
      </c>
      <c r="U388" s="2" t="s">
        <v>100</v>
      </c>
      <c r="V388" t="b">
        <v>1</v>
      </c>
      <c r="W388" t="b">
        <v>1</v>
      </c>
      <c r="X388">
        <v>56.7243675099866</v>
      </c>
    </row>
    <row r="389" spans="3:24" x14ac:dyDescent="0.35">
      <c r="C389" s="2" t="s">
        <v>36</v>
      </c>
      <c r="D389" s="3">
        <v>43100</v>
      </c>
      <c r="E389">
        <v>96.3447164405043</v>
      </c>
      <c r="F389">
        <v>72.474423646712793</v>
      </c>
      <c r="G389">
        <v>95.128125199254697</v>
      </c>
      <c r="H389">
        <v>83.176706305069104</v>
      </c>
      <c r="I389">
        <v>619000</v>
      </c>
      <c r="J389">
        <v>80.952380952380906</v>
      </c>
      <c r="K389">
        <v>17</v>
      </c>
      <c r="L389" t="b">
        <v>1</v>
      </c>
      <c r="M389">
        <v>25000</v>
      </c>
      <c r="N389" s="2" t="s">
        <v>100</v>
      </c>
      <c r="O389" t="b">
        <v>1</v>
      </c>
      <c r="P389">
        <v>7200000</v>
      </c>
      <c r="Q389">
        <v>85.960763534790999</v>
      </c>
      <c r="R389" s="2" t="s">
        <v>100</v>
      </c>
      <c r="S389">
        <v>68.451400329489204</v>
      </c>
      <c r="T389" s="2" t="s">
        <v>100</v>
      </c>
      <c r="U389" s="2" t="s">
        <v>100</v>
      </c>
      <c r="V389" t="b">
        <v>1</v>
      </c>
      <c r="W389" t="b">
        <v>1</v>
      </c>
      <c r="X389">
        <v>58.034433285509301</v>
      </c>
    </row>
    <row r="390" spans="3:24" x14ac:dyDescent="0.35">
      <c r="C390" s="2" t="s">
        <v>36</v>
      </c>
      <c r="D390" s="3">
        <v>42735</v>
      </c>
      <c r="E390">
        <v>96.220633299284998</v>
      </c>
      <c r="F390">
        <v>65.512387320937094</v>
      </c>
      <c r="G390">
        <v>95.000413975823804</v>
      </c>
      <c r="H390">
        <v>79.792281632478606</v>
      </c>
      <c r="I390">
        <v>529000</v>
      </c>
      <c r="J390">
        <v>81.818181818181799</v>
      </c>
      <c r="K390">
        <v>20</v>
      </c>
      <c r="L390" t="b">
        <v>1</v>
      </c>
      <c r="M390">
        <v>26000</v>
      </c>
      <c r="N390" s="2" t="s">
        <v>100</v>
      </c>
      <c r="O390" t="b">
        <v>1</v>
      </c>
      <c r="P390">
        <v>11014232</v>
      </c>
      <c r="Q390">
        <v>86.761782529177495</v>
      </c>
      <c r="R390" s="2" t="s">
        <v>100</v>
      </c>
      <c r="S390">
        <v>31.086519114688102</v>
      </c>
      <c r="T390" s="2" t="s">
        <v>100</v>
      </c>
      <c r="U390" s="2" t="s">
        <v>100</v>
      </c>
      <c r="V390" t="b">
        <v>1</v>
      </c>
      <c r="W390" t="b">
        <v>1</v>
      </c>
      <c r="X390">
        <v>58.215547703180199</v>
      </c>
    </row>
    <row r="391" spans="3:24" x14ac:dyDescent="0.35">
      <c r="C391" s="2" t="s">
        <v>37</v>
      </c>
      <c r="D391" s="3">
        <v>45715</v>
      </c>
      <c r="E391">
        <v>77.5476198684389</v>
      </c>
      <c r="F391">
        <v>76.647252114979494</v>
      </c>
      <c r="G391">
        <v>76.904772782651094</v>
      </c>
      <c r="H391">
        <v>76.961326128445606</v>
      </c>
      <c r="I391">
        <v>139890</v>
      </c>
      <c r="J391">
        <v>84.615384615384599</v>
      </c>
      <c r="K391">
        <v>11</v>
      </c>
      <c r="L391" t="b">
        <v>1</v>
      </c>
      <c r="M391">
        <v>44900</v>
      </c>
      <c r="N391" s="2" t="s">
        <v>100</v>
      </c>
      <c r="O391" t="b">
        <v>1</v>
      </c>
      <c r="P391" s="2" t="s">
        <v>100</v>
      </c>
      <c r="Q391">
        <v>69.909916611739803</v>
      </c>
      <c r="R391" t="b">
        <v>0</v>
      </c>
      <c r="S391">
        <v>80.379746835443001</v>
      </c>
      <c r="T391" s="2" t="s">
        <v>100</v>
      </c>
      <c r="U391" s="2" t="s">
        <v>100</v>
      </c>
      <c r="V391" t="b">
        <v>1</v>
      </c>
      <c r="W391" t="b">
        <v>1</v>
      </c>
      <c r="X391">
        <v>51.8575851393188</v>
      </c>
    </row>
    <row r="392" spans="3:24" x14ac:dyDescent="0.35">
      <c r="C392" s="2" t="s">
        <v>37</v>
      </c>
      <c r="D392" s="3">
        <v>45351</v>
      </c>
      <c r="E392">
        <v>82.062928215391196</v>
      </c>
      <c r="F392">
        <v>77.760690291178094</v>
      </c>
      <c r="G392">
        <v>66.773709984494204</v>
      </c>
      <c r="H392">
        <v>75.668053180915706</v>
      </c>
      <c r="I392">
        <v>152965</v>
      </c>
      <c r="J392">
        <v>78.571428571428498</v>
      </c>
      <c r="K392">
        <v>13</v>
      </c>
      <c r="L392" t="b">
        <v>1</v>
      </c>
      <c r="M392" s="2" t="s">
        <v>100</v>
      </c>
      <c r="N392" s="2" t="s">
        <v>100</v>
      </c>
      <c r="O392" t="b">
        <v>1</v>
      </c>
      <c r="P392" s="2" t="s">
        <v>100</v>
      </c>
      <c r="Q392">
        <v>70.2374273937494</v>
      </c>
      <c r="R392" t="b">
        <v>0</v>
      </c>
      <c r="S392">
        <v>81.818181818181799</v>
      </c>
      <c r="T392" s="2" t="s">
        <v>100</v>
      </c>
      <c r="U392" s="2" t="s">
        <v>100</v>
      </c>
      <c r="V392" t="b">
        <v>1</v>
      </c>
      <c r="W392" t="b">
        <v>1</v>
      </c>
      <c r="X392">
        <v>52.286585365853597</v>
      </c>
    </row>
    <row r="393" spans="3:24" x14ac:dyDescent="0.35">
      <c r="C393" s="2" t="s">
        <v>37</v>
      </c>
      <c r="D393" s="3">
        <v>44987</v>
      </c>
      <c r="E393">
        <v>84.980769132215002</v>
      </c>
      <c r="F393">
        <v>80.149732514314294</v>
      </c>
      <c r="G393">
        <v>56.077185773885098</v>
      </c>
      <c r="H393">
        <v>74.348375518926503</v>
      </c>
      <c r="I393">
        <v>140711</v>
      </c>
      <c r="J393">
        <v>71.428571428571402</v>
      </c>
      <c r="K393">
        <v>13</v>
      </c>
      <c r="L393" t="b">
        <v>1</v>
      </c>
      <c r="M393">
        <v>55335</v>
      </c>
      <c r="N393" s="2" t="s">
        <v>100</v>
      </c>
      <c r="O393" t="b">
        <v>1</v>
      </c>
      <c r="P393" s="2" t="s">
        <v>100</v>
      </c>
      <c r="Q393">
        <v>71.154811864450707</v>
      </c>
      <c r="R393" t="b">
        <v>0</v>
      </c>
      <c r="S393">
        <v>82.211538461538396</v>
      </c>
      <c r="T393" s="2" t="s">
        <v>100</v>
      </c>
      <c r="U393" s="2" t="s">
        <v>100</v>
      </c>
      <c r="V393" t="b">
        <v>1</v>
      </c>
      <c r="W393" t="b">
        <v>1</v>
      </c>
      <c r="X393">
        <v>53.374233128834298</v>
      </c>
    </row>
    <row r="394" spans="3:24" x14ac:dyDescent="0.35">
      <c r="C394" s="2" t="s">
        <v>37</v>
      </c>
      <c r="D394" s="3">
        <v>44623</v>
      </c>
      <c r="E394">
        <v>80.971949214188001</v>
      </c>
      <c r="F394">
        <v>82.017343951570098</v>
      </c>
      <c r="G394">
        <v>73.120370370370296</v>
      </c>
      <c r="H394">
        <v>79.123864879557203</v>
      </c>
      <c r="I394">
        <v>137384</v>
      </c>
      <c r="J394">
        <v>75</v>
      </c>
      <c r="K394">
        <v>10</v>
      </c>
      <c r="L394" t="b">
        <v>1</v>
      </c>
      <c r="M394" s="2" t="s">
        <v>100</v>
      </c>
      <c r="N394" s="2" t="s">
        <v>100</v>
      </c>
      <c r="O394" t="b">
        <v>1</v>
      </c>
      <c r="P394" s="2" t="s">
        <v>100</v>
      </c>
      <c r="Q394">
        <v>73.521960578472303</v>
      </c>
      <c r="R394" t="b">
        <v>0</v>
      </c>
      <c r="S394">
        <v>83.221476510067106</v>
      </c>
      <c r="T394" s="2" t="s">
        <v>100</v>
      </c>
      <c r="U394" s="2" t="s">
        <v>100</v>
      </c>
      <c r="V394" t="b">
        <v>1</v>
      </c>
      <c r="W394" t="b">
        <v>1</v>
      </c>
      <c r="X394">
        <v>55.140186915887803</v>
      </c>
    </row>
    <row r="395" spans="3:24" x14ac:dyDescent="0.35">
      <c r="C395" s="2" t="s">
        <v>37</v>
      </c>
      <c r="D395" s="3">
        <v>44252</v>
      </c>
      <c r="E395">
        <v>71.661256370187701</v>
      </c>
      <c r="F395">
        <v>82.563025451914299</v>
      </c>
      <c r="G395">
        <v>81.559957372535607</v>
      </c>
      <c r="H395">
        <v>79.382243024581101</v>
      </c>
      <c r="I395">
        <v>101246</v>
      </c>
      <c r="J395">
        <v>72.727272727272705</v>
      </c>
      <c r="K395">
        <v>10</v>
      </c>
      <c r="L395" t="b">
        <v>1</v>
      </c>
      <c r="M395" s="2" t="s">
        <v>100</v>
      </c>
      <c r="N395" s="2" t="s">
        <v>100</v>
      </c>
      <c r="O395" t="b">
        <v>1</v>
      </c>
      <c r="P395" s="2" t="s">
        <v>100</v>
      </c>
      <c r="Q395">
        <v>75.621147307915805</v>
      </c>
      <c r="R395" s="2" t="s">
        <v>100</v>
      </c>
      <c r="S395">
        <v>85.192307692307594</v>
      </c>
      <c r="T395" s="2" t="s">
        <v>100</v>
      </c>
      <c r="U395" s="2" t="s">
        <v>100</v>
      </c>
      <c r="V395" t="b">
        <v>1</v>
      </c>
      <c r="W395" t="b">
        <v>1</v>
      </c>
      <c r="X395">
        <v>56.643356643356597</v>
      </c>
    </row>
    <row r="396" spans="3:24" x14ac:dyDescent="0.35">
      <c r="C396" s="2" t="s">
        <v>37</v>
      </c>
      <c r="D396" s="3">
        <v>43888</v>
      </c>
      <c r="E396">
        <v>75.766522410494701</v>
      </c>
      <c r="F396">
        <v>85.670115270654705</v>
      </c>
      <c r="G396">
        <v>70.576312576312503</v>
      </c>
      <c r="H396">
        <v>78.609222250511706</v>
      </c>
      <c r="I396">
        <v>155986</v>
      </c>
      <c r="J396">
        <v>72.727272727272705</v>
      </c>
      <c r="K396">
        <v>11</v>
      </c>
      <c r="L396" t="b">
        <v>1</v>
      </c>
      <c r="M396" s="2" t="s">
        <v>100</v>
      </c>
      <c r="N396" s="2" t="s">
        <v>100</v>
      </c>
      <c r="O396" t="b">
        <v>1</v>
      </c>
      <c r="P396" s="2" t="s">
        <v>100</v>
      </c>
      <c r="Q396">
        <v>78.200069035947806</v>
      </c>
      <c r="R396" s="2" t="s">
        <v>100</v>
      </c>
      <c r="S396">
        <v>86.283185840707901</v>
      </c>
      <c r="T396" s="2" t="s">
        <v>100</v>
      </c>
      <c r="U396" s="2" t="s">
        <v>100</v>
      </c>
      <c r="V396" t="b">
        <v>1</v>
      </c>
      <c r="W396" t="b">
        <v>1</v>
      </c>
      <c r="X396">
        <v>59.003831417624497</v>
      </c>
    </row>
    <row r="397" spans="3:24" x14ac:dyDescent="0.35">
      <c r="C397" s="2" t="s">
        <v>37</v>
      </c>
      <c r="D397" s="3">
        <v>43524</v>
      </c>
      <c r="E397">
        <v>81.020613373554497</v>
      </c>
      <c r="F397">
        <v>87.985917970341603</v>
      </c>
      <c r="G397">
        <v>60.295686817945601</v>
      </c>
      <c r="H397">
        <v>77.997975238134401</v>
      </c>
      <c r="I397">
        <v>160937</v>
      </c>
      <c r="J397">
        <v>70</v>
      </c>
      <c r="K397">
        <v>10</v>
      </c>
      <c r="L397" t="b">
        <v>1</v>
      </c>
      <c r="M397">
        <v>121</v>
      </c>
      <c r="N397" s="2" t="s">
        <v>100</v>
      </c>
      <c r="O397" t="b">
        <v>1</v>
      </c>
      <c r="P397" s="2" t="s">
        <v>100</v>
      </c>
      <c r="Q397">
        <v>80.269779293880703</v>
      </c>
      <c r="R397" s="2" t="s">
        <v>100</v>
      </c>
      <c r="S397">
        <v>83.878504672897094</v>
      </c>
      <c r="T397" s="2" t="s">
        <v>100</v>
      </c>
      <c r="U397">
        <v>78</v>
      </c>
      <c r="V397" t="b">
        <v>1</v>
      </c>
      <c r="W397" t="b">
        <v>1</v>
      </c>
      <c r="X397">
        <v>56.837606837606799</v>
      </c>
    </row>
    <row r="398" spans="3:24" x14ac:dyDescent="0.35">
      <c r="C398" s="2" t="s">
        <v>37</v>
      </c>
      <c r="D398" s="3">
        <v>43160</v>
      </c>
      <c r="E398">
        <v>79.156782054385502</v>
      </c>
      <c r="F398">
        <v>88.129394500176105</v>
      </c>
      <c r="G398">
        <v>76.232718937729302</v>
      </c>
      <c r="H398">
        <v>82.255268981453</v>
      </c>
      <c r="I398">
        <v>214453</v>
      </c>
      <c r="J398">
        <v>72.727272727272705</v>
      </c>
      <c r="K398">
        <v>8</v>
      </c>
      <c r="L398" t="b">
        <v>1</v>
      </c>
      <c r="M398">
        <v>569</v>
      </c>
      <c r="N398" s="2" t="s">
        <v>100</v>
      </c>
      <c r="O398" t="b">
        <v>1</v>
      </c>
      <c r="P398" s="2" t="s">
        <v>100</v>
      </c>
      <c r="Q398">
        <v>82.220517481419506</v>
      </c>
      <c r="R398" s="2" t="s">
        <v>100</v>
      </c>
      <c r="S398">
        <v>85.561497326203195</v>
      </c>
      <c r="T398" s="2" t="s">
        <v>100</v>
      </c>
      <c r="U398" s="2" t="s">
        <v>100</v>
      </c>
      <c r="V398" t="b">
        <v>1</v>
      </c>
      <c r="W398" t="b">
        <v>1</v>
      </c>
      <c r="X398">
        <v>58.292682926829201</v>
      </c>
    </row>
    <row r="399" spans="3:24" x14ac:dyDescent="0.35">
      <c r="C399" s="2" t="s">
        <v>37</v>
      </c>
      <c r="D399" s="3">
        <v>42796</v>
      </c>
      <c r="E399">
        <v>85.882675438596394</v>
      </c>
      <c r="F399">
        <v>89.974774436312899</v>
      </c>
      <c r="G399">
        <v>75.743730709193201</v>
      </c>
      <c r="H399">
        <v>84.705970664235096</v>
      </c>
      <c r="I399">
        <v>266074</v>
      </c>
      <c r="J399">
        <v>69.230769230769198</v>
      </c>
      <c r="K399">
        <v>10</v>
      </c>
      <c r="L399" t="b">
        <v>1</v>
      </c>
      <c r="M399">
        <v>1309</v>
      </c>
      <c r="N399" s="2" t="s">
        <v>100</v>
      </c>
      <c r="O399" t="b">
        <v>1</v>
      </c>
      <c r="P399" s="2" t="s">
        <v>100</v>
      </c>
      <c r="Q399">
        <v>85.960763534790999</v>
      </c>
      <c r="R399" s="2" t="s">
        <v>100</v>
      </c>
      <c r="S399">
        <v>86.390532544378701</v>
      </c>
      <c r="T399" s="2" t="s">
        <v>100</v>
      </c>
      <c r="U399" s="2" t="s">
        <v>100</v>
      </c>
      <c r="V399" t="b">
        <v>1</v>
      </c>
      <c r="W399" t="b">
        <v>1</v>
      </c>
      <c r="X399">
        <v>58.108108108108098</v>
      </c>
    </row>
    <row r="400" spans="3:24" x14ac:dyDescent="0.35">
      <c r="C400" s="2" t="s">
        <v>37</v>
      </c>
      <c r="D400" s="3">
        <v>42432</v>
      </c>
      <c r="E400">
        <v>90.286440286440197</v>
      </c>
      <c r="F400">
        <v>85.750841750841701</v>
      </c>
      <c r="G400">
        <v>71.764226969145</v>
      </c>
      <c r="H400">
        <v>82.837731133295193</v>
      </c>
      <c r="I400">
        <v>275123</v>
      </c>
      <c r="J400">
        <v>58.3333333333333</v>
      </c>
      <c r="K400">
        <v>11</v>
      </c>
      <c r="L400" t="b">
        <v>1</v>
      </c>
      <c r="M400">
        <v>5670</v>
      </c>
      <c r="N400" s="2" t="s">
        <v>100</v>
      </c>
      <c r="O400" t="b">
        <v>1</v>
      </c>
      <c r="P400" s="2" t="s">
        <v>100</v>
      </c>
      <c r="Q400">
        <v>86.761782529177495</v>
      </c>
      <c r="R400" s="2" t="s">
        <v>100</v>
      </c>
      <c r="S400">
        <v>84.6875</v>
      </c>
      <c r="T400" s="2" t="s">
        <v>100</v>
      </c>
      <c r="U400" s="2" t="s">
        <v>100</v>
      </c>
      <c r="V400" t="b">
        <v>1</v>
      </c>
      <c r="W400" t="b">
        <v>1</v>
      </c>
      <c r="X400">
        <v>59.428571428571402</v>
      </c>
    </row>
    <row r="401" spans="3:24" x14ac:dyDescent="0.35">
      <c r="C401" s="2" t="s">
        <v>37</v>
      </c>
      <c r="D401" s="3">
        <v>45382</v>
      </c>
      <c r="E401" s="2" t="s">
        <v>100</v>
      </c>
      <c r="F401" s="2" t="s">
        <v>100</v>
      </c>
      <c r="G401" s="2" t="s">
        <v>100</v>
      </c>
      <c r="H401" s="2" t="s">
        <v>100</v>
      </c>
      <c r="I401" s="2" t="s">
        <v>100</v>
      </c>
      <c r="J401" s="2" t="s">
        <v>100</v>
      </c>
      <c r="K401" s="2" t="s">
        <v>100</v>
      </c>
      <c r="L401" s="2" t="s">
        <v>100</v>
      </c>
      <c r="M401" s="2" t="s">
        <v>100</v>
      </c>
      <c r="N401" s="2" t="s">
        <v>100</v>
      </c>
      <c r="O401" s="2" t="s">
        <v>100</v>
      </c>
      <c r="P401" s="2" t="s">
        <v>100</v>
      </c>
      <c r="Q401" s="2" t="s">
        <v>100</v>
      </c>
      <c r="R401" s="2" t="s">
        <v>100</v>
      </c>
      <c r="S401" s="2" t="s">
        <v>100</v>
      </c>
      <c r="T401" s="2" t="s">
        <v>100</v>
      </c>
      <c r="U401" s="2" t="s">
        <v>100</v>
      </c>
      <c r="V401" s="2" t="s">
        <v>100</v>
      </c>
      <c r="W401" s="2" t="s">
        <v>100</v>
      </c>
      <c r="X401" s="2" t="s">
        <v>100</v>
      </c>
    </row>
    <row r="402" spans="3:24" x14ac:dyDescent="0.35">
      <c r="C402" s="2" t="s">
        <v>37</v>
      </c>
      <c r="D402" s="3">
        <v>44651</v>
      </c>
      <c r="E402" s="2" t="s">
        <v>100</v>
      </c>
      <c r="F402" s="2" t="s">
        <v>100</v>
      </c>
      <c r="G402" s="2" t="s">
        <v>100</v>
      </c>
      <c r="H402" s="2" t="s">
        <v>100</v>
      </c>
      <c r="I402" s="2" t="s">
        <v>100</v>
      </c>
      <c r="J402" s="2" t="s">
        <v>100</v>
      </c>
      <c r="K402" s="2" t="s">
        <v>100</v>
      </c>
      <c r="L402" s="2" t="s">
        <v>100</v>
      </c>
      <c r="M402" s="2" t="s">
        <v>100</v>
      </c>
      <c r="N402" s="2" t="s">
        <v>100</v>
      </c>
      <c r="O402" s="2" t="s">
        <v>100</v>
      </c>
      <c r="P402" s="2" t="s">
        <v>100</v>
      </c>
      <c r="Q402" s="2" t="s">
        <v>100</v>
      </c>
      <c r="R402" s="2" t="s">
        <v>100</v>
      </c>
      <c r="S402" s="2" t="s">
        <v>100</v>
      </c>
      <c r="T402" s="2" t="s">
        <v>100</v>
      </c>
      <c r="U402" s="2" t="s">
        <v>100</v>
      </c>
      <c r="V402" s="2" t="s">
        <v>100</v>
      </c>
      <c r="W402" s="2" t="s">
        <v>100</v>
      </c>
      <c r="X402" s="2" t="s">
        <v>100</v>
      </c>
    </row>
    <row r="403" spans="3:24" x14ac:dyDescent="0.35">
      <c r="C403" s="2" t="s">
        <v>37</v>
      </c>
      <c r="D403" s="3">
        <v>44286</v>
      </c>
      <c r="E403" s="2" t="s">
        <v>100</v>
      </c>
      <c r="F403" s="2" t="s">
        <v>100</v>
      </c>
      <c r="G403" s="2" t="s">
        <v>100</v>
      </c>
      <c r="H403" s="2" t="s">
        <v>100</v>
      </c>
      <c r="I403" s="2" t="s">
        <v>100</v>
      </c>
      <c r="J403" s="2" t="s">
        <v>100</v>
      </c>
      <c r="K403" s="2" t="s">
        <v>100</v>
      </c>
      <c r="L403" s="2" t="s">
        <v>100</v>
      </c>
      <c r="M403" s="2" t="s">
        <v>100</v>
      </c>
      <c r="N403" s="2" t="s">
        <v>100</v>
      </c>
      <c r="O403" s="2" t="s">
        <v>100</v>
      </c>
      <c r="P403" s="2" t="s">
        <v>100</v>
      </c>
      <c r="Q403" s="2" t="s">
        <v>100</v>
      </c>
      <c r="R403" s="2" t="s">
        <v>100</v>
      </c>
      <c r="S403" s="2" t="s">
        <v>100</v>
      </c>
      <c r="T403" s="2" t="s">
        <v>100</v>
      </c>
      <c r="U403" s="2" t="s">
        <v>100</v>
      </c>
      <c r="V403" s="2" t="s">
        <v>100</v>
      </c>
      <c r="W403" s="2" t="s">
        <v>100</v>
      </c>
      <c r="X403" s="2" t="s">
        <v>100</v>
      </c>
    </row>
    <row r="404" spans="3:24" x14ac:dyDescent="0.35">
      <c r="C404" s="2" t="s">
        <v>37</v>
      </c>
      <c r="D404" s="3">
        <v>43921</v>
      </c>
      <c r="E404" s="2" t="s">
        <v>100</v>
      </c>
      <c r="F404" s="2" t="s">
        <v>100</v>
      </c>
      <c r="G404" s="2" t="s">
        <v>100</v>
      </c>
      <c r="H404" s="2" t="s">
        <v>100</v>
      </c>
      <c r="I404" s="2" t="s">
        <v>100</v>
      </c>
      <c r="J404" s="2" t="s">
        <v>100</v>
      </c>
      <c r="K404" s="2" t="s">
        <v>100</v>
      </c>
      <c r="L404" s="2" t="s">
        <v>100</v>
      </c>
      <c r="M404" s="2" t="s">
        <v>100</v>
      </c>
      <c r="N404" s="2" t="s">
        <v>100</v>
      </c>
      <c r="O404" s="2" t="s">
        <v>100</v>
      </c>
      <c r="P404" s="2" t="s">
        <v>100</v>
      </c>
      <c r="Q404" s="2" t="s">
        <v>100</v>
      </c>
      <c r="R404" s="2" t="s">
        <v>100</v>
      </c>
      <c r="S404" s="2" t="s">
        <v>100</v>
      </c>
      <c r="T404" s="2" t="s">
        <v>100</v>
      </c>
      <c r="U404" s="2" t="s">
        <v>100</v>
      </c>
      <c r="V404" s="2" t="s">
        <v>100</v>
      </c>
      <c r="W404" s="2" t="s">
        <v>100</v>
      </c>
      <c r="X404" s="2" t="s">
        <v>100</v>
      </c>
    </row>
    <row r="405" spans="3:24" x14ac:dyDescent="0.35">
      <c r="C405" s="2" t="s">
        <v>37</v>
      </c>
      <c r="D405" s="3">
        <v>43555</v>
      </c>
      <c r="E405" s="2" t="s">
        <v>100</v>
      </c>
      <c r="F405" s="2" t="s">
        <v>100</v>
      </c>
      <c r="G405" s="2" t="s">
        <v>100</v>
      </c>
      <c r="H405" s="2" t="s">
        <v>100</v>
      </c>
      <c r="I405" s="2" t="s">
        <v>100</v>
      </c>
      <c r="J405" s="2" t="s">
        <v>100</v>
      </c>
      <c r="K405" s="2" t="s">
        <v>100</v>
      </c>
      <c r="L405" s="2" t="s">
        <v>100</v>
      </c>
      <c r="M405" s="2" t="s">
        <v>100</v>
      </c>
      <c r="N405" s="2" t="s">
        <v>100</v>
      </c>
      <c r="O405" s="2" t="s">
        <v>100</v>
      </c>
      <c r="P405" s="2" t="s">
        <v>100</v>
      </c>
      <c r="Q405" s="2" t="s">
        <v>100</v>
      </c>
      <c r="R405" s="2" t="s">
        <v>100</v>
      </c>
      <c r="S405" s="2" t="s">
        <v>100</v>
      </c>
      <c r="T405" s="2" t="s">
        <v>100</v>
      </c>
      <c r="U405" s="2" t="s">
        <v>100</v>
      </c>
      <c r="V405" s="2" t="s">
        <v>100</v>
      </c>
      <c r="W405" s="2" t="s">
        <v>100</v>
      </c>
      <c r="X405" s="2" t="s">
        <v>100</v>
      </c>
    </row>
    <row r="406" spans="3:24" x14ac:dyDescent="0.35">
      <c r="C406" s="2" t="s">
        <v>37</v>
      </c>
      <c r="D406" s="3">
        <v>43190</v>
      </c>
      <c r="E406" s="2" t="s">
        <v>100</v>
      </c>
      <c r="F406" s="2" t="s">
        <v>100</v>
      </c>
      <c r="G406" s="2" t="s">
        <v>100</v>
      </c>
      <c r="H406" s="2" t="s">
        <v>100</v>
      </c>
      <c r="I406" s="2" t="s">
        <v>100</v>
      </c>
      <c r="J406" s="2" t="s">
        <v>100</v>
      </c>
      <c r="K406" s="2" t="s">
        <v>100</v>
      </c>
      <c r="L406" s="2" t="s">
        <v>100</v>
      </c>
      <c r="M406" s="2" t="s">
        <v>100</v>
      </c>
      <c r="N406" s="2" t="s">
        <v>100</v>
      </c>
      <c r="O406" s="2" t="s">
        <v>100</v>
      </c>
      <c r="P406" s="2" t="s">
        <v>100</v>
      </c>
      <c r="Q406" s="2" t="s">
        <v>100</v>
      </c>
      <c r="R406" s="2" t="s">
        <v>100</v>
      </c>
      <c r="S406" s="2" t="s">
        <v>100</v>
      </c>
      <c r="T406" s="2" t="s">
        <v>100</v>
      </c>
      <c r="U406" s="2" t="s">
        <v>100</v>
      </c>
      <c r="V406" s="2" t="s">
        <v>100</v>
      </c>
      <c r="W406" s="2" t="s">
        <v>100</v>
      </c>
      <c r="X406" s="2" t="s">
        <v>100</v>
      </c>
    </row>
    <row r="407" spans="3:24" x14ac:dyDescent="0.35">
      <c r="C407" s="2" t="s">
        <v>37</v>
      </c>
      <c r="D407" s="3">
        <v>42825</v>
      </c>
      <c r="E407" s="2" t="s">
        <v>100</v>
      </c>
      <c r="F407" s="2" t="s">
        <v>100</v>
      </c>
      <c r="G407" s="2" t="s">
        <v>100</v>
      </c>
      <c r="H407" s="2" t="s">
        <v>100</v>
      </c>
      <c r="I407" s="2" t="s">
        <v>100</v>
      </c>
      <c r="J407" s="2" t="s">
        <v>100</v>
      </c>
      <c r="K407" s="2" t="s">
        <v>100</v>
      </c>
      <c r="L407" s="2" t="s">
        <v>100</v>
      </c>
      <c r="M407" s="2" t="s">
        <v>100</v>
      </c>
      <c r="N407" s="2" t="s">
        <v>100</v>
      </c>
      <c r="O407" s="2" t="s">
        <v>100</v>
      </c>
      <c r="P407" s="2" t="s">
        <v>100</v>
      </c>
      <c r="Q407" s="2" t="s">
        <v>100</v>
      </c>
      <c r="R407" s="2" t="s">
        <v>100</v>
      </c>
      <c r="S407" s="2" t="s">
        <v>100</v>
      </c>
      <c r="T407" s="2" t="s">
        <v>100</v>
      </c>
      <c r="U407" s="2" t="s">
        <v>100</v>
      </c>
      <c r="V407" s="2" t="s">
        <v>100</v>
      </c>
      <c r="W407" s="2" t="s">
        <v>100</v>
      </c>
      <c r="X407" s="2" t="s">
        <v>100</v>
      </c>
    </row>
    <row r="408" spans="3:24" x14ac:dyDescent="0.35">
      <c r="C408" s="2" t="s">
        <v>37</v>
      </c>
      <c r="D408" s="3">
        <v>42460</v>
      </c>
      <c r="E408" s="2" t="s">
        <v>100</v>
      </c>
      <c r="F408" s="2" t="s">
        <v>100</v>
      </c>
      <c r="G408" s="2" t="s">
        <v>100</v>
      </c>
      <c r="H408" s="2" t="s">
        <v>100</v>
      </c>
      <c r="I408" s="2" t="s">
        <v>100</v>
      </c>
      <c r="J408" s="2" t="s">
        <v>100</v>
      </c>
      <c r="K408" s="2" t="s">
        <v>100</v>
      </c>
      <c r="L408" s="2" t="s">
        <v>100</v>
      </c>
      <c r="M408" s="2" t="s">
        <v>100</v>
      </c>
      <c r="N408" s="2" t="s">
        <v>100</v>
      </c>
      <c r="O408" s="2" t="s">
        <v>100</v>
      </c>
      <c r="P408" s="2" t="s">
        <v>100</v>
      </c>
      <c r="Q408" s="2" t="s">
        <v>100</v>
      </c>
      <c r="R408" s="2" t="s">
        <v>100</v>
      </c>
      <c r="S408" s="2" t="s">
        <v>100</v>
      </c>
      <c r="T408" s="2" t="s">
        <v>100</v>
      </c>
      <c r="U408" s="2" t="s">
        <v>100</v>
      </c>
      <c r="V408" s="2" t="s">
        <v>100</v>
      </c>
      <c r="W408" s="2" t="s">
        <v>100</v>
      </c>
      <c r="X408" s="2" t="s">
        <v>100</v>
      </c>
    </row>
    <row r="409" spans="3:24" x14ac:dyDescent="0.35">
      <c r="C409" s="2" t="s">
        <v>37</v>
      </c>
      <c r="D409" s="3">
        <v>45716</v>
      </c>
      <c r="E409" s="2" t="s">
        <v>100</v>
      </c>
      <c r="F409" s="2" t="s">
        <v>100</v>
      </c>
      <c r="G409" s="2" t="s">
        <v>100</v>
      </c>
      <c r="H409" s="2" t="s">
        <v>100</v>
      </c>
      <c r="I409" s="2" t="s">
        <v>100</v>
      </c>
      <c r="J409" s="2" t="s">
        <v>100</v>
      </c>
      <c r="K409" s="2" t="s">
        <v>100</v>
      </c>
      <c r="L409" s="2" t="s">
        <v>100</v>
      </c>
      <c r="M409" s="2" t="s">
        <v>100</v>
      </c>
      <c r="N409" s="2" t="s">
        <v>100</v>
      </c>
      <c r="O409" s="2" t="s">
        <v>100</v>
      </c>
      <c r="P409" s="2" t="s">
        <v>100</v>
      </c>
      <c r="Q409" s="2" t="s">
        <v>100</v>
      </c>
      <c r="R409" s="2" t="s">
        <v>100</v>
      </c>
      <c r="S409" s="2" t="s">
        <v>100</v>
      </c>
      <c r="T409" s="2" t="s">
        <v>100</v>
      </c>
      <c r="U409" s="2" t="s">
        <v>100</v>
      </c>
      <c r="V409" s="2" t="s">
        <v>100</v>
      </c>
      <c r="W409" s="2" t="s">
        <v>100</v>
      </c>
      <c r="X409" s="2" t="s">
        <v>100</v>
      </c>
    </row>
    <row r="410" spans="3:24" x14ac:dyDescent="0.35">
      <c r="C410" s="2" t="s">
        <v>37</v>
      </c>
      <c r="D410" s="3">
        <v>44985</v>
      </c>
      <c r="E410" s="2" t="s">
        <v>100</v>
      </c>
      <c r="F410" s="2" t="s">
        <v>100</v>
      </c>
      <c r="G410" s="2" t="s">
        <v>100</v>
      </c>
      <c r="H410" s="2" t="s">
        <v>100</v>
      </c>
      <c r="I410" s="2" t="s">
        <v>100</v>
      </c>
      <c r="J410" s="2" t="s">
        <v>100</v>
      </c>
      <c r="K410" s="2" t="s">
        <v>100</v>
      </c>
      <c r="L410" s="2" t="s">
        <v>100</v>
      </c>
      <c r="M410" s="2" t="s">
        <v>100</v>
      </c>
      <c r="N410" s="2" t="s">
        <v>100</v>
      </c>
      <c r="O410" s="2" t="s">
        <v>100</v>
      </c>
      <c r="P410" s="2" t="s">
        <v>100</v>
      </c>
      <c r="Q410" s="2" t="s">
        <v>100</v>
      </c>
      <c r="R410" s="2" t="s">
        <v>100</v>
      </c>
      <c r="S410" s="2" t="s">
        <v>100</v>
      </c>
      <c r="T410" s="2" t="s">
        <v>100</v>
      </c>
      <c r="U410" s="2" t="s">
        <v>100</v>
      </c>
      <c r="V410" s="2" t="s">
        <v>100</v>
      </c>
      <c r="W410" s="2" t="s">
        <v>100</v>
      </c>
      <c r="X410" s="2" t="s">
        <v>100</v>
      </c>
    </row>
    <row r="411" spans="3:24" x14ac:dyDescent="0.35">
      <c r="C411" s="2" t="s">
        <v>37</v>
      </c>
      <c r="D411" s="3">
        <v>44620</v>
      </c>
      <c r="E411" s="2" t="s">
        <v>100</v>
      </c>
      <c r="F411" s="2" t="s">
        <v>100</v>
      </c>
      <c r="G411" s="2" t="s">
        <v>100</v>
      </c>
      <c r="H411" s="2" t="s">
        <v>100</v>
      </c>
      <c r="I411" s="2" t="s">
        <v>100</v>
      </c>
      <c r="J411" s="2" t="s">
        <v>100</v>
      </c>
      <c r="K411" s="2" t="s">
        <v>100</v>
      </c>
      <c r="L411" s="2" t="s">
        <v>100</v>
      </c>
      <c r="M411" s="2" t="s">
        <v>100</v>
      </c>
      <c r="N411" s="2" t="s">
        <v>100</v>
      </c>
      <c r="O411" s="2" t="s">
        <v>100</v>
      </c>
      <c r="P411" s="2" t="s">
        <v>100</v>
      </c>
      <c r="Q411" s="2" t="s">
        <v>100</v>
      </c>
      <c r="R411" s="2" t="s">
        <v>100</v>
      </c>
      <c r="S411" s="2" t="s">
        <v>100</v>
      </c>
      <c r="T411" s="2" t="s">
        <v>100</v>
      </c>
      <c r="U411" s="2" t="s">
        <v>100</v>
      </c>
      <c r="V411" s="2" t="s">
        <v>100</v>
      </c>
      <c r="W411" s="2" t="s">
        <v>100</v>
      </c>
      <c r="X411" s="2" t="s">
        <v>100</v>
      </c>
    </row>
    <row r="412" spans="3:24" x14ac:dyDescent="0.35">
      <c r="C412" s="2" t="s">
        <v>37</v>
      </c>
      <c r="D412" s="3">
        <v>44255</v>
      </c>
      <c r="E412" s="2" t="s">
        <v>100</v>
      </c>
      <c r="F412" s="2" t="s">
        <v>100</v>
      </c>
      <c r="G412" s="2" t="s">
        <v>100</v>
      </c>
      <c r="H412" s="2" t="s">
        <v>100</v>
      </c>
      <c r="I412" s="2" t="s">
        <v>100</v>
      </c>
      <c r="J412" s="2" t="s">
        <v>100</v>
      </c>
      <c r="K412" s="2" t="s">
        <v>100</v>
      </c>
      <c r="L412" s="2" t="s">
        <v>100</v>
      </c>
      <c r="M412" s="2" t="s">
        <v>100</v>
      </c>
      <c r="N412" s="2" t="s">
        <v>100</v>
      </c>
      <c r="O412" s="2" t="s">
        <v>100</v>
      </c>
      <c r="P412" s="2" t="s">
        <v>100</v>
      </c>
      <c r="Q412" s="2" t="s">
        <v>100</v>
      </c>
      <c r="R412" s="2" t="s">
        <v>100</v>
      </c>
      <c r="S412" s="2" t="s">
        <v>100</v>
      </c>
      <c r="T412" s="2" t="s">
        <v>100</v>
      </c>
      <c r="U412" s="2" t="s">
        <v>100</v>
      </c>
      <c r="V412" s="2" t="s">
        <v>100</v>
      </c>
      <c r="W412" s="2" t="s">
        <v>100</v>
      </c>
      <c r="X412" s="2" t="s">
        <v>100</v>
      </c>
    </row>
    <row r="413" spans="3:24" x14ac:dyDescent="0.35">
      <c r="C413" s="2" t="s">
        <v>37</v>
      </c>
      <c r="D413" s="3">
        <v>43890</v>
      </c>
      <c r="E413" s="2" t="s">
        <v>100</v>
      </c>
      <c r="F413" s="2" t="s">
        <v>100</v>
      </c>
      <c r="G413" s="2" t="s">
        <v>100</v>
      </c>
      <c r="H413" s="2" t="s">
        <v>100</v>
      </c>
      <c r="I413" s="2" t="s">
        <v>100</v>
      </c>
      <c r="J413" s="2" t="s">
        <v>100</v>
      </c>
      <c r="K413" s="2" t="s">
        <v>100</v>
      </c>
      <c r="L413" s="2" t="s">
        <v>100</v>
      </c>
      <c r="M413" s="2" t="s">
        <v>100</v>
      </c>
      <c r="N413" s="2" t="s">
        <v>100</v>
      </c>
      <c r="O413" s="2" t="s">
        <v>100</v>
      </c>
      <c r="P413" s="2" t="s">
        <v>100</v>
      </c>
      <c r="Q413" s="2" t="s">
        <v>100</v>
      </c>
      <c r="R413" s="2" t="s">
        <v>100</v>
      </c>
      <c r="S413" s="2" t="s">
        <v>100</v>
      </c>
      <c r="T413" s="2" t="s">
        <v>100</v>
      </c>
      <c r="U413" s="2" t="s">
        <v>100</v>
      </c>
      <c r="V413" s="2" t="s">
        <v>100</v>
      </c>
      <c r="W413" s="2" t="s">
        <v>100</v>
      </c>
      <c r="X413" s="2" t="s">
        <v>100</v>
      </c>
    </row>
    <row r="414" spans="3:24" x14ac:dyDescent="0.35">
      <c r="C414" s="2" t="s">
        <v>37</v>
      </c>
      <c r="D414" s="3">
        <v>43159</v>
      </c>
      <c r="E414" s="2" t="s">
        <v>100</v>
      </c>
      <c r="F414" s="2" t="s">
        <v>100</v>
      </c>
      <c r="G414" s="2" t="s">
        <v>100</v>
      </c>
      <c r="H414" s="2" t="s">
        <v>100</v>
      </c>
      <c r="I414" s="2" t="s">
        <v>100</v>
      </c>
      <c r="J414" s="2" t="s">
        <v>100</v>
      </c>
      <c r="K414" s="2" t="s">
        <v>100</v>
      </c>
      <c r="L414" s="2" t="s">
        <v>100</v>
      </c>
      <c r="M414" s="2" t="s">
        <v>100</v>
      </c>
      <c r="N414" s="2" t="s">
        <v>100</v>
      </c>
      <c r="O414" s="2" t="s">
        <v>100</v>
      </c>
      <c r="P414" s="2" t="s">
        <v>100</v>
      </c>
      <c r="Q414" s="2" t="s">
        <v>100</v>
      </c>
      <c r="R414" s="2" t="s">
        <v>100</v>
      </c>
      <c r="S414" s="2" t="s">
        <v>100</v>
      </c>
      <c r="T414" s="2" t="s">
        <v>100</v>
      </c>
      <c r="U414" s="2" t="s">
        <v>100</v>
      </c>
      <c r="V414" s="2" t="s">
        <v>100</v>
      </c>
      <c r="W414" s="2" t="s">
        <v>100</v>
      </c>
      <c r="X414" s="2" t="s">
        <v>100</v>
      </c>
    </row>
    <row r="415" spans="3:24" x14ac:dyDescent="0.35">
      <c r="C415" s="2" t="s">
        <v>37</v>
      </c>
      <c r="D415" s="3">
        <v>42794</v>
      </c>
      <c r="E415" s="2" t="s">
        <v>100</v>
      </c>
      <c r="F415" s="2" t="s">
        <v>100</v>
      </c>
      <c r="G415" s="2" t="s">
        <v>100</v>
      </c>
      <c r="H415" s="2" t="s">
        <v>100</v>
      </c>
      <c r="I415" s="2" t="s">
        <v>100</v>
      </c>
      <c r="J415" s="2" t="s">
        <v>100</v>
      </c>
      <c r="K415" s="2" t="s">
        <v>100</v>
      </c>
      <c r="L415" s="2" t="s">
        <v>100</v>
      </c>
      <c r="M415" s="2" t="s">
        <v>100</v>
      </c>
      <c r="N415" s="2" t="s">
        <v>100</v>
      </c>
      <c r="O415" s="2" t="s">
        <v>100</v>
      </c>
      <c r="P415" s="2" t="s">
        <v>100</v>
      </c>
      <c r="Q415" s="2" t="s">
        <v>100</v>
      </c>
      <c r="R415" s="2" t="s">
        <v>100</v>
      </c>
      <c r="S415" s="2" t="s">
        <v>100</v>
      </c>
      <c r="T415" s="2" t="s">
        <v>100</v>
      </c>
      <c r="U415" s="2" t="s">
        <v>100</v>
      </c>
      <c r="V415" s="2" t="s">
        <v>100</v>
      </c>
      <c r="W415" s="2" t="s">
        <v>100</v>
      </c>
      <c r="X415" s="2" t="s">
        <v>100</v>
      </c>
    </row>
    <row r="416" spans="3:24" x14ac:dyDescent="0.35">
      <c r="C416" s="2" t="s">
        <v>37</v>
      </c>
      <c r="D416" s="3">
        <v>42429</v>
      </c>
      <c r="E416" s="2" t="s">
        <v>100</v>
      </c>
      <c r="F416" s="2" t="s">
        <v>100</v>
      </c>
      <c r="G416" s="2" t="s">
        <v>100</v>
      </c>
      <c r="H416" s="2" t="s">
        <v>100</v>
      </c>
      <c r="I416" s="2" t="s">
        <v>100</v>
      </c>
      <c r="J416" s="2" t="s">
        <v>100</v>
      </c>
      <c r="K416" s="2" t="s">
        <v>100</v>
      </c>
      <c r="L416" s="2" t="s">
        <v>100</v>
      </c>
      <c r="M416" s="2" t="s">
        <v>100</v>
      </c>
      <c r="N416" s="2" t="s">
        <v>100</v>
      </c>
      <c r="O416" s="2" t="s">
        <v>100</v>
      </c>
      <c r="P416" s="2" t="s">
        <v>100</v>
      </c>
      <c r="Q416" s="2" t="s">
        <v>100</v>
      </c>
      <c r="R416" s="2" t="s">
        <v>100</v>
      </c>
      <c r="S416" s="2" t="s">
        <v>100</v>
      </c>
      <c r="T416" s="2" t="s">
        <v>100</v>
      </c>
      <c r="U416" s="2" t="s">
        <v>100</v>
      </c>
      <c r="V416" s="2" t="s">
        <v>100</v>
      </c>
      <c r="W416" s="2" t="s">
        <v>100</v>
      </c>
      <c r="X416" s="2" t="s">
        <v>100</v>
      </c>
    </row>
    <row r="417" spans="3:24" x14ac:dyDescent="0.35">
      <c r="C417" s="2" t="s">
        <v>38</v>
      </c>
      <c r="D417" s="3">
        <v>45382</v>
      </c>
      <c r="E417">
        <v>34.7035278154681</v>
      </c>
      <c r="F417">
        <v>29.334589778043501</v>
      </c>
      <c r="G417">
        <v>48.244234800838498</v>
      </c>
      <c r="H417">
        <v>35.876157954411397</v>
      </c>
      <c r="I417">
        <v>87700</v>
      </c>
      <c r="J417">
        <v>30</v>
      </c>
      <c r="K417">
        <v>10</v>
      </c>
      <c r="L417" t="b">
        <v>1</v>
      </c>
      <c r="M417" s="2" t="s">
        <v>100</v>
      </c>
      <c r="N417" s="2" t="s">
        <v>100</v>
      </c>
      <c r="O417" t="b">
        <v>1</v>
      </c>
      <c r="P417" s="2" t="s">
        <v>100</v>
      </c>
      <c r="Q417">
        <v>70.2374273937494</v>
      </c>
      <c r="R417" t="b">
        <v>0</v>
      </c>
      <c r="S417">
        <v>31.343283582089501</v>
      </c>
      <c r="T417">
        <v>4.45</v>
      </c>
      <c r="U417" s="2" t="s">
        <v>100</v>
      </c>
      <c r="V417" t="b">
        <v>1</v>
      </c>
      <c r="W417" t="b">
        <v>1</v>
      </c>
      <c r="X417">
        <v>54.411764705882298</v>
      </c>
    </row>
    <row r="418" spans="3:24" x14ac:dyDescent="0.35">
      <c r="C418" s="2" t="s">
        <v>38</v>
      </c>
      <c r="D418" s="3">
        <v>45016</v>
      </c>
      <c r="E418">
        <v>43.433557550737497</v>
      </c>
      <c r="F418">
        <v>33.504791032008498</v>
      </c>
      <c r="G418">
        <v>29.616573902288099</v>
      </c>
      <c r="H418">
        <v>36.111731707171103</v>
      </c>
      <c r="I418">
        <v>96000</v>
      </c>
      <c r="J418">
        <v>41.6666666666666</v>
      </c>
      <c r="K418">
        <v>10</v>
      </c>
      <c r="L418" t="b">
        <v>1</v>
      </c>
      <c r="M418" s="2" t="s">
        <v>100</v>
      </c>
      <c r="N418" s="2" t="s">
        <v>100</v>
      </c>
      <c r="O418" t="b">
        <v>1</v>
      </c>
      <c r="P418" s="2" t="s">
        <v>100</v>
      </c>
      <c r="Q418">
        <v>71.154811864450707</v>
      </c>
      <c r="R418" t="b">
        <v>0</v>
      </c>
      <c r="S418">
        <v>30.147058823529399</v>
      </c>
      <c r="T418">
        <v>4.8499999999999996</v>
      </c>
      <c r="U418" s="2" t="s">
        <v>100</v>
      </c>
      <c r="V418" t="b">
        <v>1</v>
      </c>
      <c r="W418" t="b">
        <v>1</v>
      </c>
      <c r="X418">
        <v>53.623188405797102</v>
      </c>
    </row>
    <row r="419" spans="3:24" x14ac:dyDescent="0.35">
      <c r="C419" s="2" t="s">
        <v>38</v>
      </c>
      <c r="D419" s="3">
        <v>44651</v>
      </c>
      <c r="E419">
        <v>42.515360729386799</v>
      </c>
      <c r="F419">
        <v>40.696758070277397</v>
      </c>
      <c r="G419">
        <v>34.876543209876502</v>
      </c>
      <c r="H419">
        <v>39.926707089453402</v>
      </c>
      <c r="I419">
        <v>104000</v>
      </c>
      <c r="J419">
        <v>60</v>
      </c>
      <c r="K419">
        <v>13</v>
      </c>
      <c r="L419" t="b">
        <v>1</v>
      </c>
      <c r="M419" s="2" t="s">
        <v>100</v>
      </c>
      <c r="N419" s="2" t="s">
        <v>100</v>
      </c>
      <c r="O419" t="b">
        <v>1</v>
      </c>
      <c r="P419" s="2" t="s">
        <v>100</v>
      </c>
      <c r="Q419">
        <v>73.521960578472303</v>
      </c>
      <c r="R419" t="b">
        <v>0</v>
      </c>
      <c r="S419">
        <v>31.818181818181799</v>
      </c>
      <c r="T419">
        <v>4.8</v>
      </c>
      <c r="U419" s="2" t="s">
        <v>100</v>
      </c>
      <c r="V419" t="b">
        <v>1</v>
      </c>
      <c r="W419" t="b">
        <v>1</v>
      </c>
      <c r="X419">
        <v>55.147058823529399</v>
      </c>
    </row>
    <row r="420" spans="3:24" x14ac:dyDescent="0.35">
      <c r="C420" s="2" t="s">
        <v>38</v>
      </c>
      <c r="D420" s="3">
        <v>44286</v>
      </c>
      <c r="E420">
        <v>44.2874140666313</v>
      </c>
      <c r="F420">
        <v>40.731265022624797</v>
      </c>
      <c r="G420">
        <v>43.288095238095202</v>
      </c>
      <c r="H420">
        <v>42.629572738231801</v>
      </c>
      <c r="I420">
        <v>96000</v>
      </c>
      <c r="J420">
        <v>71.428571428571402</v>
      </c>
      <c r="K420">
        <v>12</v>
      </c>
      <c r="L420" t="b">
        <v>1</v>
      </c>
      <c r="M420" s="2" t="s">
        <v>100</v>
      </c>
      <c r="N420" s="2" t="s">
        <v>100</v>
      </c>
      <c r="O420" t="b">
        <v>1</v>
      </c>
      <c r="P420" s="2" t="s">
        <v>100</v>
      </c>
      <c r="Q420">
        <v>75.621147307915805</v>
      </c>
      <c r="R420" s="2" t="s">
        <v>100</v>
      </c>
      <c r="S420">
        <v>9.1666666666666607</v>
      </c>
      <c r="T420">
        <v>5.2</v>
      </c>
      <c r="U420" s="2" t="s">
        <v>100</v>
      </c>
      <c r="V420" t="b">
        <v>1</v>
      </c>
      <c r="W420" t="b">
        <v>1</v>
      </c>
      <c r="X420">
        <v>56.349206349206298</v>
      </c>
    </row>
    <row r="421" spans="3:24" x14ac:dyDescent="0.35">
      <c r="C421" s="2" t="s">
        <v>38</v>
      </c>
      <c r="D421" s="3">
        <v>43921</v>
      </c>
      <c r="E421">
        <v>37.7836036176516</v>
      </c>
      <c r="F421">
        <v>29.583594007473899</v>
      </c>
      <c r="G421">
        <v>89.682539682539598</v>
      </c>
      <c r="H421">
        <v>47.199079432981002</v>
      </c>
      <c r="I421">
        <v>94000</v>
      </c>
      <c r="J421">
        <v>81.818181818181799</v>
      </c>
      <c r="K421">
        <v>11</v>
      </c>
      <c r="L421" t="b">
        <v>0</v>
      </c>
      <c r="M421" s="2" t="s">
        <v>100</v>
      </c>
      <c r="N421" s="2" t="s">
        <v>100</v>
      </c>
      <c r="O421" t="b">
        <v>1</v>
      </c>
      <c r="P421" s="2" t="s">
        <v>100</v>
      </c>
      <c r="Q421">
        <v>78.200069035947806</v>
      </c>
      <c r="R421" s="2" t="s">
        <v>100</v>
      </c>
      <c r="S421">
        <v>8.6538461538461497</v>
      </c>
      <c r="T421">
        <v>5.35</v>
      </c>
      <c r="U421" s="2" t="s">
        <v>100</v>
      </c>
      <c r="V421" t="b">
        <v>1</v>
      </c>
      <c r="W421" t="b">
        <v>1</v>
      </c>
      <c r="X421">
        <v>58.928571428571402</v>
      </c>
    </row>
    <row r="422" spans="3:24" x14ac:dyDescent="0.35">
      <c r="C422" s="2" t="s">
        <v>38</v>
      </c>
      <c r="D422" s="3">
        <v>43555</v>
      </c>
      <c r="E422">
        <v>38.3862545018007</v>
      </c>
      <c r="F422">
        <v>32.4186138093987</v>
      </c>
      <c r="G422">
        <v>83.633838383838395</v>
      </c>
      <c r="H422">
        <v>47.064743478589001</v>
      </c>
      <c r="I422">
        <v>95000</v>
      </c>
      <c r="J422">
        <v>75</v>
      </c>
      <c r="K422">
        <v>11</v>
      </c>
      <c r="L422" t="b">
        <v>0</v>
      </c>
      <c r="M422" s="2" t="s">
        <v>100</v>
      </c>
      <c r="N422" s="2" t="s">
        <v>100</v>
      </c>
      <c r="O422" t="b">
        <v>1</v>
      </c>
      <c r="P422" s="2" t="s">
        <v>100</v>
      </c>
      <c r="Q422">
        <v>80.269779293880703</v>
      </c>
      <c r="R422" s="2" t="s">
        <v>100</v>
      </c>
      <c r="S422">
        <v>7.1428571428571397</v>
      </c>
      <c r="T422">
        <v>6</v>
      </c>
      <c r="U422" s="2" t="s">
        <v>100</v>
      </c>
      <c r="V422" t="b">
        <v>1</v>
      </c>
      <c r="W422" t="b">
        <v>1</v>
      </c>
      <c r="X422">
        <v>62.5</v>
      </c>
    </row>
    <row r="423" spans="3:24" x14ac:dyDescent="0.35">
      <c r="C423" s="2" t="s">
        <v>38</v>
      </c>
      <c r="D423" s="3">
        <v>43190</v>
      </c>
      <c r="E423">
        <v>50.323517452083699</v>
      </c>
      <c r="F423">
        <v>34.756322634545597</v>
      </c>
      <c r="G423">
        <v>82.345911949685501</v>
      </c>
      <c r="H423">
        <v>51.955597408704598</v>
      </c>
      <c r="I423">
        <v>89000</v>
      </c>
      <c r="J423">
        <v>66.6666666666666</v>
      </c>
      <c r="K423">
        <v>11</v>
      </c>
      <c r="L423" t="b">
        <v>0</v>
      </c>
      <c r="M423" s="2" t="s">
        <v>100</v>
      </c>
      <c r="N423" s="2" t="s">
        <v>100</v>
      </c>
      <c r="O423" t="b">
        <v>1</v>
      </c>
      <c r="P423" s="2" t="s">
        <v>100</v>
      </c>
      <c r="Q423">
        <v>82.220517481419506</v>
      </c>
      <c r="R423" s="2" t="s">
        <v>100</v>
      </c>
      <c r="S423">
        <v>11.363636363636299</v>
      </c>
      <c r="T423">
        <v>5.8</v>
      </c>
      <c r="U423" s="2" t="s">
        <v>100</v>
      </c>
      <c r="V423" t="b">
        <v>1</v>
      </c>
      <c r="W423" t="b">
        <v>1</v>
      </c>
      <c r="X423">
        <v>67.346938775510196</v>
      </c>
    </row>
    <row r="424" spans="3:24" x14ac:dyDescent="0.35">
      <c r="C424" s="2" t="s">
        <v>38</v>
      </c>
      <c r="D424" s="3">
        <v>42825</v>
      </c>
      <c r="E424">
        <v>50.974828823626403</v>
      </c>
      <c r="F424">
        <v>33.378868294979199</v>
      </c>
      <c r="G424">
        <v>73.597883597883595</v>
      </c>
      <c r="H424">
        <v>49.504724921961099</v>
      </c>
      <c r="I424">
        <v>118000</v>
      </c>
      <c r="J424">
        <v>69.230769230769198</v>
      </c>
      <c r="K424">
        <v>11</v>
      </c>
      <c r="L424" t="b">
        <v>0</v>
      </c>
      <c r="M424" s="2" t="s">
        <v>100</v>
      </c>
      <c r="N424" s="2" t="s">
        <v>100</v>
      </c>
      <c r="O424" t="b">
        <v>1</v>
      </c>
      <c r="P424" s="2" t="s">
        <v>100</v>
      </c>
      <c r="Q424">
        <v>85.960763534790999</v>
      </c>
      <c r="R424" s="2" t="s">
        <v>100</v>
      </c>
      <c r="S424">
        <v>25.609756097560901</v>
      </c>
      <c r="T424">
        <v>6.85</v>
      </c>
      <c r="U424" s="2" t="s">
        <v>100</v>
      </c>
      <c r="V424" t="b">
        <v>1</v>
      </c>
      <c r="W424" t="b">
        <v>1</v>
      </c>
      <c r="X424">
        <v>72.2222222222222</v>
      </c>
    </row>
    <row r="425" spans="3:24" x14ac:dyDescent="0.35">
      <c r="C425" s="2" t="s">
        <v>38</v>
      </c>
      <c r="D425" s="3">
        <v>42460</v>
      </c>
      <c r="E425">
        <v>40.855839343742502</v>
      </c>
      <c r="F425">
        <v>42.518738768441096</v>
      </c>
      <c r="G425">
        <v>92.063492063492106</v>
      </c>
      <c r="H425">
        <v>54.023555790135397</v>
      </c>
      <c r="I425">
        <v>120000</v>
      </c>
      <c r="J425">
        <v>70</v>
      </c>
      <c r="K425">
        <v>10</v>
      </c>
      <c r="L425" t="b">
        <v>1</v>
      </c>
      <c r="M425" s="2" t="s">
        <v>100</v>
      </c>
      <c r="N425" s="2" t="s">
        <v>100</v>
      </c>
      <c r="O425" t="b">
        <v>1</v>
      </c>
      <c r="P425" s="2" t="s">
        <v>100</v>
      </c>
      <c r="Q425">
        <v>86.761782529177495</v>
      </c>
      <c r="R425" s="2" t="s">
        <v>100</v>
      </c>
      <c r="S425">
        <v>75.641025641025607</v>
      </c>
      <c r="T425">
        <v>6.9</v>
      </c>
      <c r="U425" s="2" t="s">
        <v>100</v>
      </c>
      <c r="V425" t="b">
        <v>1</v>
      </c>
      <c r="W425" t="b">
        <v>1</v>
      </c>
      <c r="X425">
        <v>77.7777777777777</v>
      </c>
    </row>
    <row r="426" spans="3:24" x14ac:dyDescent="0.35">
      <c r="C426" s="2" t="s">
        <v>38</v>
      </c>
      <c r="D426" s="3">
        <v>42094</v>
      </c>
      <c r="E426">
        <v>44.415933528836703</v>
      </c>
      <c r="F426">
        <v>36.857103324680097</v>
      </c>
      <c r="G426">
        <v>86.9392684610076</v>
      </c>
      <c r="H426">
        <v>51.796480391757797</v>
      </c>
      <c r="I426">
        <v>128000</v>
      </c>
      <c r="J426">
        <v>66.6666666666666</v>
      </c>
      <c r="K426">
        <v>10</v>
      </c>
      <c r="L426" t="b">
        <v>1</v>
      </c>
      <c r="M426" s="2" t="s">
        <v>100</v>
      </c>
      <c r="N426" s="2" t="s">
        <v>100</v>
      </c>
      <c r="O426" t="b">
        <v>1</v>
      </c>
      <c r="P426" s="2" t="s">
        <v>100</v>
      </c>
      <c r="Q426">
        <v>18.9460637435099</v>
      </c>
      <c r="R426" s="2" t="s">
        <v>100</v>
      </c>
      <c r="S426">
        <v>55.405405405405403</v>
      </c>
      <c r="T426">
        <v>9.5</v>
      </c>
      <c r="U426" s="2" t="s">
        <v>100</v>
      </c>
      <c r="V426" t="b">
        <v>1</v>
      </c>
      <c r="W426" t="b">
        <v>1</v>
      </c>
      <c r="X426">
        <v>79.268292682926798</v>
      </c>
    </row>
    <row r="427" spans="3:24" x14ac:dyDescent="0.35">
      <c r="C427" s="2" t="s">
        <v>39</v>
      </c>
      <c r="D427" s="3">
        <v>46022</v>
      </c>
      <c r="E427">
        <v>39.428571428571402</v>
      </c>
      <c r="F427">
        <v>44.996031746031697</v>
      </c>
      <c r="G427">
        <v>81.409676535087698</v>
      </c>
      <c r="H427">
        <v>54.361236293859598</v>
      </c>
      <c r="I427">
        <v>119385</v>
      </c>
      <c r="J427">
        <v>70</v>
      </c>
      <c r="K427">
        <v>9</v>
      </c>
      <c r="L427" t="b">
        <v>1</v>
      </c>
      <c r="M427">
        <v>24200</v>
      </c>
      <c r="N427" s="2" t="s">
        <v>100</v>
      </c>
      <c r="O427" t="b">
        <v>1</v>
      </c>
      <c r="P427" s="2" t="s">
        <v>100</v>
      </c>
      <c r="Q427">
        <v>69.909916611739803</v>
      </c>
      <c r="R427" t="b">
        <v>0</v>
      </c>
      <c r="S427">
        <v>10.4166666666666</v>
      </c>
      <c r="T427">
        <v>5.58</v>
      </c>
      <c r="U427">
        <v>71</v>
      </c>
      <c r="V427" t="b">
        <v>1</v>
      </c>
      <c r="W427" t="b">
        <v>1</v>
      </c>
      <c r="X427">
        <v>52</v>
      </c>
    </row>
    <row r="428" spans="3:24" x14ac:dyDescent="0.35">
      <c r="C428" s="2" t="s">
        <v>39</v>
      </c>
      <c r="D428" s="3">
        <v>45657</v>
      </c>
      <c r="E428">
        <v>33.285714285714199</v>
      </c>
      <c r="F428">
        <v>45.948412698412703</v>
      </c>
      <c r="G428">
        <v>60.431485406975597</v>
      </c>
      <c r="H428">
        <v>46.747778955426</v>
      </c>
      <c r="I428">
        <v>117789</v>
      </c>
      <c r="J428">
        <v>72.727272727272705</v>
      </c>
      <c r="K428">
        <v>10</v>
      </c>
      <c r="L428" t="b">
        <v>1</v>
      </c>
      <c r="M428">
        <v>19900</v>
      </c>
      <c r="N428" s="2" t="s">
        <v>100</v>
      </c>
      <c r="O428" t="b">
        <v>1</v>
      </c>
      <c r="P428" s="2" t="s">
        <v>100</v>
      </c>
      <c r="Q428">
        <v>70.2374273937494</v>
      </c>
      <c r="R428" t="b">
        <v>0</v>
      </c>
      <c r="S428">
        <v>10.4166666666666</v>
      </c>
      <c r="T428">
        <v>5.76</v>
      </c>
      <c r="U428">
        <v>71</v>
      </c>
      <c r="V428" t="b">
        <v>1</v>
      </c>
      <c r="W428" t="b">
        <v>1</v>
      </c>
      <c r="X428">
        <v>52</v>
      </c>
    </row>
    <row r="429" spans="3:24" x14ac:dyDescent="0.35">
      <c r="C429" s="2" t="s">
        <v>39</v>
      </c>
      <c r="D429" s="3">
        <v>45291</v>
      </c>
      <c r="E429">
        <v>36.934523809523803</v>
      </c>
      <c r="F429">
        <v>53.519668737060101</v>
      </c>
      <c r="G429">
        <v>55.567539804827902</v>
      </c>
      <c r="H429">
        <v>49.490189477680197</v>
      </c>
      <c r="I429">
        <v>117817</v>
      </c>
      <c r="J429">
        <v>66.6666666666666</v>
      </c>
      <c r="K429">
        <v>9</v>
      </c>
      <c r="L429" t="b">
        <v>1</v>
      </c>
      <c r="M429">
        <v>22200</v>
      </c>
      <c r="N429" s="2" t="s">
        <v>100</v>
      </c>
      <c r="O429" t="b">
        <v>1</v>
      </c>
      <c r="P429" s="2" t="s">
        <v>100</v>
      </c>
      <c r="Q429">
        <v>71.154811864450707</v>
      </c>
      <c r="R429" t="b">
        <v>0</v>
      </c>
      <c r="S429">
        <v>10.869565217391299</v>
      </c>
      <c r="T429">
        <v>5.28</v>
      </c>
      <c r="U429">
        <v>69</v>
      </c>
      <c r="V429" t="b">
        <v>1</v>
      </c>
      <c r="W429" t="b">
        <v>1</v>
      </c>
      <c r="X429">
        <v>54</v>
      </c>
    </row>
    <row r="430" spans="3:24" x14ac:dyDescent="0.35">
      <c r="C430" s="2" t="s">
        <v>39</v>
      </c>
      <c r="D430" s="3">
        <v>44926</v>
      </c>
      <c r="E430">
        <v>33.428571428571402</v>
      </c>
      <c r="F430">
        <v>55.769230769230802</v>
      </c>
      <c r="G430">
        <v>57.771896896896799</v>
      </c>
      <c r="H430">
        <v>50.114645992146002</v>
      </c>
      <c r="I430">
        <v>121300</v>
      </c>
      <c r="J430">
        <v>66.6666666666666</v>
      </c>
      <c r="K430">
        <v>8</v>
      </c>
      <c r="L430" t="b">
        <v>1</v>
      </c>
      <c r="M430">
        <v>22200</v>
      </c>
      <c r="N430" s="2" t="s">
        <v>100</v>
      </c>
      <c r="O430" t="b">
        <v>1</v>
      </c>
      <c r="P430" s="2" t="s">
        <v>100</v>
      </c>
      <c r="Q430">
        <v>73.521960578472303</v>
      </c>
      <c r="R430" t="b">
        <v>0</v>
      </c>
      <c r="S430">
        <v>18.75</v>
      </c>
      <c r="T430">
        <v>4.8</v>
      </c>
      <c r="U430">
        <v>85</v>
      </c>
      <c r="V430" t="b">
        <v>1</v>
      </c>
      <c r="W430" t="b">
        <v>1</v>
      </c>
      <c r="X430">
        <v>55.769230769230703</v>
      </c>
    </row>
    <row r="431" spans="3:24" x14ac:dyDescent="0.35">
      <c r="C431" s="2" t="s">
        <v>39</v>
      </c>
      <c r="D431" s="3">
        <v>44561</v>
      </c>
      <c r="E431">
        <v>33.416854884246099</v>
      </c>
      <c r="F431">
        <v>53.776283240568901</v>
      </c>
      <c r="G431">
        <v>59.585733862738898</v>
      </c>
      <c r="H431">
        <v>49.818478487449497</v>
      </c>
      <c r="I431">
        <v>112168</v>
      </c>
      <c r="J431">
        <v>62.5</v>
      </c>
      <c r="K431">
        <v>8</v>
      </c>
      <c r="L431" t="b">
        <v>1</v>
      </c>
      <c r="M431">
        <v>22000</v>
      </c>
      <c r="N431" s="2" t="s">
        <v>100</v>
      </c>
      <c r="O431" t="b">
        <v>1</v>
      </c>
      <c r="P431" s="2" t="s">
        <v>100</v>
      </c>
      <c r="Q431">
        <v>75.621147307915805</v>
      </c>
      <c r="R431" t="b">
        <v>0</v>
      </c>
      <c r="S431">
        <v>15.909090909090899</v>
      </c>
      <c r="T431">
        <v>5.16</v>
      </c>
      <c r="U431">
        <v>69</v>
      </c>
      <c r="V431" t="b">
        <v>1</v>
      </c>
      <c r="W431" t="b">
        <v>1</v>
      </c>
      <c r="X431">
        <v>56.25</v>
      </c>
    </row>
    <row r="432" spans="3:24" x14ac:dyDescent="0.35">
      <c r="C432" s="2" t="s">
        <v>39</v>
      </c>
      <c r="D432" s="3">
        <v>44196</v>
      </c>
      <c r="E432">
        <v>31.262531328320701</v>
      </c>
      <c r="F432">
        <v>52.724072084974303</v>
      </c>
      <c r="G432">
        <v>63.577940577940602</v>
      </c>
      <c r="H432">
        <v>49.971001221001202</v>
      </c>
      <c r="I432">
        <v>117989</v>
      </c>
      <c r="J432">
        <v>60</v>
      </c>
      <c r="K432">
        <v>8</v>
      </c>
      <c r="L432" t="b">
        <v>0</v>
      </c>
      <c r="M432">
        <v>22900</v>
      </c>
      <c r="N432" s="2" t="s">
        <v>100</v>
      </c>
      <c r="O432" t="b">
        <v>1</v>
      </c>
      <c r="P432" s="2" t="s">
        <v>100</v>
      </c>
      <c r="Q432">
        <v>78.200069035947806</v>
      </c>
      <c r="R432" t="b">
        <v>0</v>
      </c>
      <c r="S432">
        <v>13.157894736842101</v>
      </c>
      <c r="T432">
        <v>5.0999999999999996</v>
      </c>
      <c r="U432">
        <v>88</v>
      </c>
      <c r="V432" t="b">
        <v>1</v>
      </c>
      <c r="W432" t="b">
        <v>1</v>
      </c>
      <c r="X432">
        <v>61.904761904761898</v>
      </c>
    </row>
    <row r="433" spans="3:24" x14ac:dyDescent="0.35">
      <c r="C433" s="2" t="s">
        <v>39</v>
      </c>
      <c r="D433" s="3">
        <v>43830</v>
      </c>
      <c r="E433">
        <v>27.531512605042</v>
      </c>
      <c r="F433">
        <v>47.689075630252098</v>
      </c>
      <c r="G433">
        <v>52.985969166811003</v>
      </c>
      <c r="H433">
        <v>43.634026044160898</v>
      </c>
      <c r="I433">
        <v>128787</v>
      </c>
      <c r="J433">
        <v>50</v>
      </c>
      <c r="K433">
        <v>8</v>
      </c>
      <c r="L433" t="b">
        <v>0</v>
      </c>
      <c r="M433">
        <v>22900</v>
      </c>
      <c r="N433" s="2" t="s">
        <v>100</v>
      </c>
      <c r="O433" t="b">
        <v>1</v>
      </c>
      <c r="P433" s="2" t="s">
        <v>100</v>
      </c>
      <c r="Q433">
        <v>80.269779293880703</v>
      </c>
      <c r="R433" t="b">
        <v>0</v>
      </c>
      <c r="S433">
        <v>0</v>
      </c>
      <c r="T433">
        <v>5.76</v>
      </c>
      <c r="U433" s="2" t="s">
        <v>100</v>
      </c>
      <c r="V433" t="b">
        <v>1</v>
      </c>
      <c r="W433" t="b">
        <v>1</v>
      </c>
      <c r="X433">
        <v>0</v>
      </c>
    </row>
    <row r="434" spans="3:24" x14ac:dyDescent="0.35">
      <c r="C434" s="2" t="s">
        <v>39</v>
      </c>
      <c r="D434" s="3">
        <v>43465</v>
      </c>
      <c r="E434">
        <v>30.614370748299301</v>
      </c>
      <c r="F434">
        <v>46.447669977081702</v>
      </c>
      <c r="G434">
        <v>50.053773846253101</v>
      </c>
      <c r="H434">
        <v>43.096177353774102</v>
      </c>
      <c r="I434">
        <v>131463</v>
      </c>
      <c r="J434">
        <v>55.5555555555555</v>
      </c>
      <c r="K434">
        <v>9</v>
      </c>
      <c r="L434" t="b">
        <v>0</v>
      </c>
      <c r="M434">
        <v>27238.2</v>
      </c>
      <c r="N434" s="2" t="s">
        <v>100</v>
      </c>
      <c r="O434" t="b">
        <v>1</v>
      </c>
      <c r="P434" s="2" t="s">
        <v>100</v>
      </c>
      <c r="Q434">
        <v>82.220517481419506</v>
      </c>
      <c r="R434" t="b">
        <v>0</v>
      </c>
      <c r="S434">
        <v>0</v>
      </c>
      <c r="T434">
        <v>5.7</v>
      </c>
      <c r="U434">
        <v>82</v>
      </c>
      <c r="V434" t="b">
        <v>1</v>
      </c>
      <c r="W434" t="b">
        <v>1</v>
      </c>
      <c r="X434">
        <v>0</v>
      </c>
    </row>
    <row r="435" spans="3:24" x14ac:dyDescent="0.35">
      <c r="C435" s="2" t="s">
        <v>39</v>
      </c>
      <c r="D435" s="3">
        <v>43100</v>
      </c>
      <c r="E435">
        <v>26.785714285714199</v>
      </c>
      <c r="F435">
        <v>36.512605042016801</v>
      </c>
      <c r="G435">
        <v>60.9205980356734</v>
      </c>
      <c r="H435">
        <v>41.111473528349102</v>
      </c>
      <c r="I435">
        <v>123138</v>
      </c>
      <c r="J435">
        <v>60</v>
      </c>
      <c r="K435">
        <v>9</v>
      </c>
      <c r="L435" t="b">
        <v>0</v>
      </c>
      <c r="M435">
        <v>23168.43</v>
      </c>
      <c r="N435" s="2" t="s">
        <v>100</v>
      </c>
      <c r="O435" t="b">
        <v>1</v>
      </c>
      <c r="P435" s="2" t="s">
        <v>100</v>
      </c>
      <c r="Q435">
        <v>85.960763534790999</v>
      </c>
      <c r="R435" s="2" t="s">
        <v>100</v>
      </c>
      <c r="S435">
        <v>0</v>
      </c>
      <c r="T435">
        <v>4.8600000000000003</v>
      </c>
      <c r="U435" s="2" t="s">
        <v>100</v>
      </c>
      <c r="V435" t="b">
        <v>1</v>
      </c>
      <c r="W435" t="b">
        <v>1</v>
      </c>
      <c r="X435">
        <v>0</v>
      </c>
    </row>
    <row r="436" spans="3:24" x14ac:dyDescent="0.35">
      <c r="C436" s="2" t="s">
        <v>39</v>
      </c>
      <c r="D436" s="3">
        <v>42735</v>
      </c>
      <c r="E436">
        <v>22.7040816326531</v>
      </c>
      <c r="F436">
        <v>36.4583333333333</v>
      </c>
      <c r="G436">
        <v>40.145029530275401</v>
      </c>
      <c r="H436">
        <v>33.713151716225397</v>
      </c>
      <c r="I436">
        <v>121387</v>
      </c>
      <c r="J436">
        <v>40</v>
      </c>
      <c r="K436">
        <v>8</v>
      </c>
      <c r="L436" t="b">
        <v>0</v>
      </c>
      <c r="M436">
        <v>22287.3</v>
      </c>
      <c r="N436" s="2" t="s">
        <v>100</v>
      </c>
      <c r="O436" t="b">
        <v>1</v>
      </c>
      <c r="P436" s="2" t="s">
        <v>100</v>
      </c>
      <c r="Q436">
        <v>86.761782529177495</v>
      </c>
      <c r="R436" s="2" t="s">
        <v>100</v>
      </c>
      <c r="S436">
        <v>0</v>
      </c>
      <c r="T436">
        <v>5.94</v>
      </c>
      <c r="U436">
        <v>76</v>
      </c>
      <c r="V436" t="b">
        <v>1</v>
      </c>
      <c r="W436" t="b">
        <v>1</v>
      </c>
      <c r="X436">
        <v>0</v>
      </c>
    </row>
    <row r="437" spans="3:24" x14ac:dyDescent="0.35">
      <c r="C437" s="2" t="s">
        <v>40</v>
      </c>
      <c r="D437" s="3">
        <v>45747</v>
      </c>
      <c r="E437">
        <v>46.502207525294402</v>
      </c>
      <c r="F437">
        <v>71.980203137053493</v>
      </c>
      <c r="G437">
        <v>85.434103923001899</v>
      </c>
      <c r="H437">
        <v>74.689763702949193</v>
      </c>
      <c r="I437">
        <v>238</v>
      </c>
      <c r="J437">
        <v>72.727272727272705</v>
      </c>
      <c r="K437">
        <v>10</v>
      </c>
      <c r="L437" t="b">
        <v>1</v>
      </c>
      <c r="M437">
        <v>58.2</v>
      </c>
      <c r="N437" s="2" t="s">
        <v>100</v>
      </c>
      <c r="O437" t="b">
        <v>1</v>
      </c>
      <c r="P437" s="2" t="s">
        <v>100</v>
      </c>
      <c r="Q437">
        <v>69.909916611739803</v>
      </c>
      <c r="R437" t="b">
        <v>0</v>
      </c>
      <c r="S437">
        <v>42.111959287531803</v>
      </c>
      <c r="T437" s="2" t="s">
        <v>100</v>
      </c>
      <c r="U437">
        <v>72</v>
      </c>
      <c r="V437" t="b">
        <v>1</v>
      </c>
      <c r="W437" t="b">
        <v>1</v>
      </c>
      <c r="X437">
        <v>54.418604651162703</v>
      </c>
    </row>
    <row r="438" spans="3:24" x14ac:dyDescent="0.35">
      <c r="C438" s="2" t="s">
        <v>40</v>
      </c>
      <c r="D438" s="3">
        <v>45382</v>
      </c>
      <c r="E438">
        <v>46.956476378311699</v>
      </c>
      <c r="F438">
        <v>73.258215488881305</v>
      </c>
      <c r="G438">
        <v>62.996485047138599</v>
      </c>
      <c r="H438">
        <v>64.793434681926797</v>
      </c>
      <c r="I438">
        <v>214</v>
      </c>
      <c r="J438">
        <v>69.230769230769198</v>
      </c>
      <c r="K438">
        <v>11</v>
      </c>
      <c r="L438" t="b">
        <v>1</v>
      </c>
      <c r="M438">
        <v>70.400000000000006</v>
      </c>
      <c r="N438" s="2" t="s">
        <v>100</v>
      </c>
      <c r="O438" t="b">
        <v>1</v>
      </c>
      <c r="P438" s="2" t="s">
        <v>100</v>
      </c>
      <c r="Q438">
        <v>70.2374273937494</v>
      </c>
      <c r="R438" t="b">
        <v>0</v>
      </c>
      <c r="S438">
        <v>42.146596858638702</v>
      </c>
      <c r="T438" s="2" t="s">
        <v>100</v>
      </c>
      <c r="U438" s="2" t="s">
        <v>100</v>
      </c>
      <c r="V438" t="b">
        <v>1</v>
      </c>
      <c r="W438" t="b">
        <v>1</v>
      </c>
      <c r="X438">
        <v>53.1941031941031</v>
      </c>
    </row>
    <row r="439" spans="3:24" x14ac:dyDescent="0.35">
      <c r="C439" s="2" t="s">
        <v>40</v>
      </c>
      <c r="D439" s="3">
        <v>45016</v>
      </c>
      <c r="E439">
        <v>48.999046111021201</v>
      </c>
      <c r="F439">
        <v>73.393821811914407</v>
      </c>
      <c r="G439">
        <v>62.9157768586849</v>
      </c>
      <c r="H439">
        <v>65.094946217537398</v>
      </c>
      <c r="I439">
        <v>296</v>
      </c>
      <c r="J439">
        <v>75</v>
      </c>
      <c r="K439">
        <v>12</v>
      </c>
      <c r="L439" t="b">
        <v>1</v>
      </c>
      <c r="M439">
        <v>39.299999999999997</v>
      </c>
      <c r="N439" s="2" t="s">
        <v>100</v>
      </c>
      <c r="O439" t="b">
        <v>1</v>
      </c>
      <c r="P439" s="2" t="s">
        <v>100</v>
      </c>
      <c r="Q439">
        <v>71.154811864450707</v>
      </c>
      <c r="R439" t="b">
        <v>0</v>
      </c>
      <c r="S439">
        <v>41.8032786885245</v>
      </c>
      <c r="T439" s="2" t="s">
        <v>100</v>
      </c>
      <c r="U439" s="2" t="s">
        <v>100</v>
      </c>
      <c r="V439" t="b">
        <v>1</v>
      </c>
      <c r="W439" t="b">
        <v>1</v>
      </c>
      <c r="X439">
        <v>54.145728643216103</v>
      </c>
    </row>
    <row r="440" spans="3:24" x14ac:dyDescent="0.35">
      <c r="C440" s="2" t="s">
        <v>40</v>
      </c>
      <c r="D440" s="3">
        <v>44651</v>
      </c>
      <c r="E440">
        <v>53.314891480830298</v>
      </c>
      <c r="F440">
        <v>78.793277537036005</v>
      </c>
      <c r="G440">
        <v>56.700325325325302</v>
      </c>
      <c r="H440">
        <v>64.9265307879608</v>
      </c>
      <c r="I440">
        <v>201</v>
      </c>
      <c r="J440">
        <v>66.6666666666666</v>
      </c>
      <c r="K440">
        <v>11</v>
      </c>
      <c r="L440" t="b">
        <v>1</v>
      </c>
      <c r="M440">
        <v>66.430000000000007</v>
      </c>
      <c r="N440" s="2" t="s">
        <v>100</v>
      </c>
      <c r="O440" t="b">
        <v>1</v>
      </c>
      <c r="P440" s="2" t="s">
        <v>100</v>
      </c>
      <c r="Q440">
        <v>73.521960578472303</v>
      </c>
      <c r="R440" t="b">
        <v>0</v>
      </c>
      <c r="S440">
        <v>42.9166666666666</v>
      </c>
      <c r="T440">
        <v>0</v>
      </c>
      <c r="U440" s="2" t="s">
        <v>100</v>
      </c>
      <c r="V440" t="b">
        <v>1</v>
      </c>
      <c r="W440" t="b">
        <v>1</v>
      </c>
      <c r="X440">
        <v>55.236907730673302</v>
      </c>
    </row>
    <row r="441" spans="3:24" x14ac:dyDescent="0.35">
      <c r="C441" s="2" t="s">
        <v>40</v>
      </c>
      <c r="D441" s="3">
        <v>44286</v>
      </c>
      <c r="E441">
        <v>52.063221876371202</v>
      </c>
      <c r="F441">
        <v>62.030955593241899</v>
      </c>
      <c r="G441">
        <v>64.044960411773701</v>
      </c>
      <c r="H441">
        <v>61.575679030093497</v>
      </c>
      <c r="I441">
        <v>222</v>
      </c>
      <c r="J441">
        <v>63.636363636363598</v>
      </c>
      <c r="K441">
        <v>11</v>
      </c>
      <c r="L441" t="b">
        <v>1</v>
      </c>
      <c r="M441" s="2" t="s">
        <v>100</v>
      </c>
      <c r="N441" s="2" t="s">
        <v>100</v>
      </c>
      <c r="O441" t="b">
        <v>1</v>
      </c>
      <c r="P441" s="2" t="s">
        <v>100</v>
      </c>
      <c r="Q441">
        <v>75.621147307915805</v>
      </c>
      <c r="R441" t="b">
        <v>0</v>
      </c>
      <c r="S441">
        <v>43.809523809523803</v>
      </c>
      <c r="T441">
        <v>0</v>
      </c>
      <c r="U441" s="2" t="s">
        <v>100</v>
      </c>
      <c r="V441" t="b">
        <v>1</v>
      </c>
      <c r="W441" t="b">
        <v>1</v>
      </c>
      <c r="X441">
        <v>57.123287671232802</v>
      </c>
    </row>
    <row r="442" spans="3:24" x14ac:dyDescent="0.35">
      <c r="C442" s="2" t="s">
        <v>40</v>
      </c>
      <c r="D442" s="3">
        <v>43921</v>
      </c>
      <c r="E442">
        <v>38.332986570872002</v>
      </c>
      <c r="F442">
        <v>42.340207195816397</v>
      </c>
      <c r="G442">
        <v>39.065934065934002</v>
      </c>
      <c r="H442">
        <v>40.252748446785802</v>
      </c>
      <c r="I442">
        <v>514</v>
      </c>
      <c r="J442">
        <v>63.636363636363598</v>
      </c>
      <c r="K442">
        <v>9</v>
      </c>
      <c r="L442" t="b">
        <v>0</v>
      </c>
      <c r="M442" s="2" t="s">
        <v>100</v>
      </c>
      <c r="N442" s="2" t="s">
        <v>100</v>
      </c>
      <c r="O442" t="b">
        <v>1</v>
      </c>
      <c r="P442" s="2" t="s">
        <v>100</v>
      </c>
      <c r="Q442">
        <v>78.200069035947806</v>
      </c>
      <c r="R442" t="b">
        <v>0</v>
      </c>
      <c r="S442">
        <v>43.7735849056603</v>
      </c>
      <c r="T442" s="2" t="s">
        <v>100</v>
      </c>
      <c r="U442" s="2" t="s">
        <v>100</v>
      </c>
      <c r="V442" t="b">
        <v>0</v>
      </c>
      <c r="W442" t="b">
        <v>1</v>
      </c>
      <c r="X442">
        <v>59.908536585365802</v>
      </c>
    </row>
    <row r="443" spans="3:24" x14ac:dyDescent="0.35">
      <c r="C443" s="2" t="s">
        <v>40</v>
      </c>
      <c r="D443" s="3">
        <v>43555</v>
      </c>
      <c r="E443">
        <v>51.138883313041397</v>
      </c>
      <c r="F443">
        <v>35.593513298148899</v>
      </c>
      <c r="G443">
        <v>30.3033085051099</v>
      </c>
      <c r="H443">
        <v>32.358762304117398</v>
      </c>
      <c r="I443">
        <v>584</v>
      </c>
      <c r="J443">
        <v>75</v>
      </c>
      <c r="K443">
        <v>10</v>
      </c>
      <c r="L443" t="b">
        <v>0</v>
      </c>
      <c r="M443" s="2" t="s">
        <v>100</v>
      </c>
      <c r="N443" s="2" t="s">
        <v>100</v>
      </c>
      <c r="O443" t="b">
        <v>0</v>
      </c>
      <c r="P443" s="2" t="s">
        <v>100</v>
      </c>
      <c r="Q443">
        <v>80.269779293880703</v>
      </c>
      <c r="R443" s="2" t="s">
        <v>100</v>
      </c>
      <c r="S443">
        <v>45.238095238095198</v>
      </c>
      <c r="T443" s="2" t="s">
        <v>100</v>
      </c>
      <c r="U443" s="2" t="s">
        <v>100</v>
      </c>
      <c r="V443" t="b">
        <v>0</v>
      </c>
      <c r="W443" t="b">
        <v>1</v>
      </c>
      <c r="X443">
        <v>58.305084745762699</v>
      </c>
    </row>
    <row r="444" spans="3:24" x14ac:dyDescent="0.35">
      <c r="C444" s="2" t="s">
        <v>40</v>
      </c>
      <c r="D444" s="3">
        <v>43190</v>
      </c>
      <c r="E444">
        <v>60.108495497756898</v>
      </c>
      <c r="F444">
        <v>32.1917182168132</v>
      </c>
      <c r="G444">
        <v>39.322039687147701</v>
      </c>
      <c r="H444">
        <v>36.158880923939201</v>
      </c>
      <c r="I444">
        <v>651</v>
      </c>
      <c r="J444">
        <v>66.6666666666666</v>
      </c>
      <c r="K444">
        <v>11</v>
      </c>
      <c r="L444" t="b">
        <v>0</v>
      </c>
      <c r="M444" s="2" t="s">
        <v>100</v>
      </c>
      <c r="N444" s="2" t="s">
        <v>100</v>
      </c>
      <c r="O444" t="b">
        <v>0</v>
      </c>
      <c r="P444" s="2" t="s">
        <v>100</v>
      </c>
      <c r="Q444">
        <v>13.9549058403905</v>
      </c>
      <c r="R444" s="2" t="s">
        <v>100</v>
      </c>
      <c r="S444">
        <v>46.534653465346501</v>
      </c>
      <c r="T444" s="2" t="s">
        <v>100</v>
      </c>
      <c r="U444" s="2" t="s">
        <v>100</v>
      </c>
      <c r="V444" t="b">
        <v>0</v>
      </c>
      <c r="W444" t="b">
        <v>1</v>
      </c>
      <c r="X444">
        <v>59.677419354838698</v>
      </c>
    </row>
    <row r="445" spans="3:24" x14ac:dyDescent="0.35">
      <c r="C445" s="2" t="s">
        <v>40</v>
      </c>
      <c r="D445" s="3">
        <v>42825</v>
      </c>
      <c r="E445">
        <v>48.076791876970297</v>
      </c>
      <c r="F445">
        <v>35.493986809776302</v>
      </c>
      <c r="G445">
        <v>54.704323738407801</v>
      </c>
      <c r="H445">
        <v>42.364559367810301</v>
      </c>
      <c r="I445">
        <v>926</v>
      </c>
      <c r="J445">
        <v>66.6666666666666</v>
      </c>
      <c r="K445">
        <v>8</v>
      </c>
      <c r="L445" t="b">
        <v>0</v>
      </c>
      <c r="M445" s="2" t="s">
        <v>100</v>
      </c>
      <c r="N445" s="2" t="s">
        <v>100</v>
      </c>
      <c r="O445" t="b">
        <v>0</v>
      </c>
      <c r="P445" s="2" t="s">
        <v>100</v>
      </c>
      <c r="Q445">
        <v>17.695432117423302</v>
      </c>
      <c r="R445" s="2" t="s">
        <v>100</v>
      </c>
      <c r="S445">
        <v>45.454545454545404</v>
      </c>
      <c r="T445" s="2" t="s">
        <v>100</v>
      </c>
      <c r="U445" s="2" t="s">
        <v>100</v>
      </c>
      <c r="V445" t="b">
        <v>0</v>
      </c>
      <c r="W445" t="b">
        <v>1</v>
      </c>
      <c r="X445">
        <v>63.738738738738697</v>
      </c>
    </row>
    <row r="446" spans="3:24" x14ac:dyDescent="0.35">
      <c r="C446" s="2" t="s">
        <v>40</v>
      </c>
      <c r="D446" s="3">
        <v>42460</v>
      </c>
      <c r="E446">
        <v>52.219165407633803</v>
      </c>
      <c r="F446">
        <v>37.394043768639499</v>
      </c>
      <c r="G446">
        <v>50.888254125959101</v>
      </c>
      <c r="H446">
        <v>41.6720285933038</v>
      </c>
      <c r="I446">
        <v>930</v>
      </c>
      <c r="J446">
        <v>62.5</v>
      </c>
      <c r="K446">
        <v>8</v>
      </c>
      <c r="L446" t="b">
        <v>0</v>
      </c>
      <c r="M446" s="2" t="s">
        <v>100</v>
      </c>
      <c r="N446" s="2" t="s">
        <v>100</v>
      </c>
      <c r="O446" t="b">
        <v>0</v>
      </c>
      <c r="P446" s="2" t="s">
        <v>100</v>
      </c>
      <c r="Q446">
        <v>18.497865737530599</v>
      </c>
      <c r="R446" s="2" t="s">
        <v>100</v>
      </c>
      <c r="S446">
        <v>48.571428571428498</v>
      </c>
      <c r="T446" s="2" t="s">
        <v>100</v>
      </c>
      <c r="U446" s="2" t="s">
        <v>100</v>
      </c>
      <c r="V446" t="b">
        <v>0</v>
      </c>
      <c r="W446" t="b">
        <v>1</v>
      </c>
      <c r="X446">
        <v>63.315217391304301</v>
      </c>
    </row>
    <row r="447" spans="3:24" x14ac:dyDescent="0.35">
      <c r="C447" s="2" t="s">
        <v>41</v>
      </c>
      <c r="D447" s="3">
        <v>45657</v>
      </c>
      <c r="E447">
        <v>90.730094395632193</v>
      </c>
      <c r="F447">
        <v>82.297097440895499</v>
      </c>
      <c r="G447">
        <v>70.239283401048098</v>
      </c>
      <c r="H447">
        <v>78.598371418921502</v>
      </c>
      <c r="I447">
        <v>4568</v>
      </c>
      <c r="J447">
        <v>57.142857142857103</v>
      </c>
      <c r="K447">
        <v>13</v>
      </c>
      <c r="L447" t="b">
        <v>1</v>
      </c>
      <c r="M447">
        <v>851.3</v>
      </c>
      <c r="N447" s="2" t="s">
        <v>100</v>
      </c>
      <c r="O447" t="b">
        <v>1</v>
      </c>
      <c r="P447" s="2" t="s">
        <v>100</v>
      </c>
      <c r="Q447">
        <v>70.2374273937494</v>
      </c>
      <c r="R447" t="b">
        <v>0</v>
      </c>
      <c r="S447">
        <v>93.687707641195999</v>
      </c>
      <c r="T447">
        <v>0</v>
      </c>
      <c r="U447" s="2" t="s">
        <v>100</v>
      </c>
      <c r="V447" t="b">
        <v>1</v>
      </c>
      <c r="W447" t="b">
        <v>1</v>
      </c>
      <c r="X447">
        <v>50.980392156862699</v>
      </c>
    </row>
    <row r="448" spans="3:24" x14ac:dyDescent="0.35">
      <c r="C448" s="2" t="s">
        <v>41</v>
      </c>
      <c r="D448" s="3">
        <v>45291</v>
      </c>
      <c r="E448">
        <v>89.082989403234805</v>
      </c>
      <c r="F448">
        <v>80.512687748366702</v>
      </c>
      <c r="G448">
        <v>65.728741473612104</v>
      </c>
      <c r="H448">
        <v>75.741816125780602</v>
      </c>
      <c r="I448">
        <v>6289</v>
      </c>
      <c r="J448">
        <v>62.5</v>
      </c>
      <c r="K448">
        <v>14</v>
      </c>
      <c r="L448" t="b">
        <v>1</v>
      </c>
      <c r="M448">
        <v>590.70000000000005</v>
      </c>
      <c r="N448" s="2" t="s">
        <v>100</v>
      </c>
      <c r="O448" t="b">
        <v>1</v>
      </c>
      <c r="P448" s="2" t="s">
        <v>100</v>
      </c>
      <c r="Q448">
        <v>71.154811864450707</v>
      </c>
      <c r="R448" t="b">
        <v>0</v>
      </c>
      <c r="S448">
        <v>91.6666666666666</v>
      </c>
      <c r="T448" s="2" t="s">
        <v>100</v>
      </c>
      <c r="U448" s="2" t="s">
        <v>100</v>
      </c>
      <c r="V448" t="b">
        <v>1</v>
      </c>
      <c r="W448" t="b">
        <v>1</v>
      </c>
      <c r="X448">
        <v>51.650165016501603</v>
      </c>
    </row>
    <row r="449" spans="3:24" x14ac:dyDescent="0.35">
      <c r="C449" s="2" t="s">
        <v>41</v>
      </c>
      <c r="D449" s="3">
        <v>44926</v>
      </c>
      <c r="E449">
        <v>86.944935990955003</v>
      </c>
      <c r="F449">
        <v>84.390074923978801</v>
      </c>
      <c r="G449">
        <v>54.741209959959903</v>
      </c>
      <c r="H449">
        <v>72.871177080634794</v>
      </c>
      <c r="I449">
        <v>7121</v>
      </c>
      <c r="J449">
        <v>60</v>
      </c>
      <c r="K449">
        <v>14</v>
      </c>
      <c r="L449" t="b">
        <v>1</v>
      </c>
      <c r="M449">
        <v>581.70000000000005</v>
      </c>
      <c r="N449" s="2" t="s">
        <v>100</v>
      </c>
      <c r="O449" t="b">
        <v>1</v>
      </c>
      <c r="P449" s="2" t="s">
        <v>100</v>
      </c>
      <c r="Q449">
        <v>73.521960578472303</v>
      </c>
      <c r="R449" t="b">
        <v>0</v>
      </c>
      <c r="S449">
        <v>94.727891156462505</v>
      </c>
      <c r="T449">
        <v>0</v>
      </c>
      <c r="U449">
        <v>77</v>
      </c>
      <c r="V449" t="b">
        <v>1</v>
      </c>
      <c r="W449" t="b">
        <v>1</v>
      </c>
      <c r="X449">
        <v>52.741935483870897</v>
      </c>
    </row>
    <row r="450" spans="3:24" x14ac:dyDescent="0.35">
      <c r="C450" s="2" t="s">
        <v>41</v>
      </c>
      <c r="D450" s="3">
        <v>44561</v>
      </c>
      <c r="E450">
        <v>83.061394619636403</v>
      </c>
      <c r="F450">
        <v>76.449739676084803</v>
      </c>
      <c r="G450">
        <v>74.938777710586294</v>
      </c>
      <c r="H450">
        <v>76.726908882359098</v>
      </c>
      <c r="I450">
        <v>13154</v>
      </c>
      <c r="J450">
        <v>53.846153846153797</v>
      </c>
      <c r="K450">
        <v>12</v>
      </c>
      <c r="L450" t="b">
        <v>1</v>
      </c>
      <c r="M450" s="2" t="s">
        <v>100</v>
      </c>
      <c r="N450" s="2" t="s">
        <v>100</v>
      </c>
      <c r="O450" t="b">
        <v>1</v>
      </c>
      <c r="P450" s="2" t="s">
        <v>100</v>
      </c>
      <c r="Q450">
        <v>75.621147307915805</v>
      </c>
      <c r="R450" s="2" t="s">
        <v>100</v>
      </c>
      <c r="S450">
        <v>72.2222222222222</v>
      </c>
      <c r="T450">
        <v>0.18645</v>
      </c>
      <c r="U450">
        <v>75</v>
      </c>
      <c r="V450" t="b">
        <v>1</v>
      </c>
      <c r="W450" t="b">
        <v>1</v>
      </c>
      <c r="X450">
        <v>54.266211604095503</v>
      </c>
    </row>
    <row r="451" spans="3:24" x14ac:dyDescent="0.35">
      <c r="C451" s="2" t="s">
        <v>41</v>
      </c>
      <c r="D451" s="3">
        <v>44196</v>
      </c>
      <c r="E451">
        <v>61.181427993910198</v>
      </c>
      <c r="F451">
        <v>60.303275734357101</v>
      </c>
      <c r="G451">
        <v>70.356125356125304</v>
      </c>
      <c r="H451">
        <v>64.441502551004803</v>
      </c>
      <c r="I451">
        <v>14978</v>
      </c>
      <c r="J451">
        <v>46.6666666666666</v>
      </c>
      <c r="K451">
        <v>12</v>
      </c>
      <c r="L451" t="b">
        <v>1</v>
      </c>
      <c r="M451" s="2" t="s">
        <v>100</v>
      </c>
      <c r="N451" s="2" t="s">
        <v>100</v>
      </c>
      <c r="O451" t="b">
        <v>1</v>
      </c>
      <c r="P451" s="2" t="s">
        <v>100</v>
      </c>
      <c r="Q451">
        <v>78.200069035947806</v>
      </c>
      <c r="R451" s="2" t="s">
        <v>100</v>
      </c>
      <c r="S451">
        <v>73.940677966101703</v>
      </c>
      <c r="T451">
        <v>0</v>
      </c>
      <c r="U451" s="2" t="s">
        <v>100</v>
      </c>
      <c r="V451" t="b">
        <v>1</v>
      </c>
      <c r="W451" t="b">
        <v>1</v>
      </c>
      <c r="X451">
        <v>54.1015625</v>
      </c>
    </row>
    <row r="452" spans="3:24" x14ac:dyDescent="0.35">
      <c r="C452" s="2" t="s">
        <v>41</v>
      </c>
      <c r="D452" s="3">
        <v>43830</v>
      </c>
      <c r="E452">
        <v>76.1088836027361</v>
      </c>
      <c r="F452">
        <v>59.092980871180004</v>
      </c>
      <c r="G452">
        <v>53.4533749061724</v>
      </c>
      <c r="H452">
        <v>57.190928551873903</v>
      </c>
      <c r="I452">
        <v>17255</v>
      </c>
      <c r="J452">
        <v>53.846153846153797</v>
      </c>
      <c r="K452">
        <v>12</v>
      </c>
      <c r="L452" t="b">
        <v>1</v>
      </c>
      <c r="M452" s="2" t="s">
        <v>100</v>
      </c>
      <c r="N452" s="2" t="s">
        <v>100</v>
      </c>
      <c r="O452" t="b">
        <v>1</v>
      </c>
      <c r="P452" s="2" t="s">
        <v>100</v>
      </c>
      <c r="Q452">
        <v>80.269779293880703</v>
      </c>
      <c r="R452" s="2" t="s">
        <v>100</v>
      </c>
      <c r="S452">
        <v>76.282051282051199</v>
      </c>
      <c r="T452">
        <v>0.45300000000000001</v>
      </c>
      <c r="U452" s="2" t="s">
        <v>100</v>
      </c>
      <c r="V452" t="b">
        <v>1</v>
      </c>
      <c r="W452" t="b">
        <v>1</v>
      </c>
      <c r="X452">
        <v>52.459016393442603</v>
      </c>
    </row>
    <row r="453" spans="3:24" x14ac:dyDescent="0.35">
      <c r="C453" s="2" t="s">
        <v>41</v>
      </c>
      <c r="D453" s="3">
        <v>43465</v>
      </c>
      <c r="E453">
        <v>62.543683019662097</v>
      </c>
      <c r="F453">
        <v>59.113810585284597</v>
      </c>
      <c r="G453">
        <v>38.132525776912502</v>
      </c>
      <c r="H453">
        <v>48.116472823724202</v>
      </c>
      <c r="I453">
        <v>15996</v>
      </c>
      <c r="J453">
        <v>57.142857142857103</v>
      </c>
      <c r="K453">
        <v>12</v>
      </c>
      <c r="L453" t="b">
        <v>1</v>
      </c>
      <c r="M453" s="2" t="s">
        <v>100</v>
      </c>
      <c r="N453" s="2" t="s">
        <v>100</v>
      </c>
      <c r="O453" t="b">
        <v>1</v>
      </c>
      <c r="P453" s="2" t="s">
        <v>100</v>
      </c>
      <c r="Q453">
        <v>82.220517481419506</v>
      </c>
      <c r="R453" s="2" t="s">
        <v>100</v>
      </c>
      <c r="S453">
        <v>79.186602870813303</v>
      </c>
      <c r="T453">
        <v>0.36699999999999999</v>
      </c>
      <c r="U453" s="2" t="s">
        <v>100</v>
      </c>
      <c r="V453" t="b">
        <v>1</v>
      </c>
      <c r="W453" t="b">
        <v>1</v>
      </c>
      <c r="X453">
        <v>53.196347031963398</v>
      </c>
    </row>
    <row r="454" spans="3:24" x14ac:dyDescent="0.35">
      <c r="C454" s="2" t="s">
        <v>41</v>
      </c>
      <c r="D454" s="3">
        <v>43100</v>
      </c>
      <c r="E454">
        <v>32.917941023717397</v>
      </c>
      <c r="F454">
        <v>66.567200241618806</v>
      </c>
      <c r="G454">
        <v>71.370872328215896</v>
      </c>
      <c r="H454">
        <v>61.527682575886303</v>
      </c>
      <c r="I454">
        <v>3957</v>
      </c>
      <c r="J454">
        <v>76.923076923076906</v>
      </c>
      <c r="K454">
        <v>11</v>
      </c>
      <c r="L454" t="b">
        <v>0</v>
      </c>
      <c r="M454" s="2" t="s">
        <v>100</v>
      </c>
      <c r="N454" s="2" t="s">
        <v>100</v>
      </c>
      <c r="O454" t="b">
        <v>1</v>
      </c>
      <c r="P454" s="2" t="s">
        <v>100</v>
      </c>
      <c r="Q454">
        <v>85.960763534790999</v>
      </c>
      <c r="R454" s="2" t="s">
        <v>100</v>
      </c>
      <c r="S454">
        <v>79.545454545454504</v>
      </c>
      <c r="T454">
        <v>0</v>
      </c>
      <c r="U454">
        <v>80</v>
      </c>
      <c r="V454" t="b">
        <v>1</v>
      </c>
      <c r="W454" t="b">
        <v>1</v>
      </c>
      <c r="X454">
        <v>54.883720930232499</v>
      </c>
    </row>
    <row r="455" spans="3:24" x14ac:dyDescent="0.35">
      <c r="C455" s="2" t="s">
        <v>41</v>
      </c>
      <c r="D455" s="3">
        <v>42735</v>
      </c>
      <c r="E455">
        <v>38.217618081715401</v>
      </c>
      <c r="F455">
        <v>59.911896718730297</v>
      </c>
      <c r="G455">
        <v>54.131064745818797</v>
      </c>
      <c r="H455">
        <v>51.987781621970399</v>
      </c>
      <c r="I455">
        <v>3364</v>
      </c>
      <c r="J455">
        <v>69.230769230769198</v>
      </c>
      <c r="K455">
        <v>11</v>
      </c>
      <c r="L455" t="b">
        <v>0</v>
      </c>
      <c r="M455" s="2" t="s">
        <v>100</v>
      </c>
      <c r="N455" s="2" t="s">
        <v>100</v>
      </c>
      <c r="O455" t="b">
        <v>1</v>
      </c>
      <c r="P455" s="2" t="s">
        <v>100</v>
      </c>
      <c r="Q455">
        <v>86.761782529177495</v>
      </c>
      <c r="R455" s="2" t="s">
        <v>100</v>
      </c>
      <c r="S455">
        <v>81.648936170212707</v>
      </c>
      <c r="T455">
        <v>0.76900000000000002</v>
      </c>
      <c r="U455">
        <v>81</v>
      </c>
      <c r="V455" t="b">
        <v>1</v>
      </c>
      <c r="W455" t="b">
        <v>1</v>
      </c>
      <c r="X455">
        <v>55.097087378640701</v>
      </c>
    </row>
    <row r="456" spans="3:24" x14ac:dyDescent="0.35">
      <c r="C456" s="2" t="s">
        <v>41</v>
      </c>
      <c r="D456" s="3">
        <v>42369</v>
      </c>
      <c r="E456">
        <v>33.646991310050801</v>
      </c>
      <c r="F456">
        <v>63.670845989145</v>
      </c>
      <c r="G456">
        <v>47.241196698441101</v>
      </c>
      <c r="H456">
        <v>50.452530795183101</v>
      </c>
      <c r="I456">
        <v>3860</v>
      </c>
      <c r="J456">
        <v>44.4444444444444</v>
      </c>
      <c r="K456">
        <v>8</v>
      </c>
      <c r="L456" t="b">
        <v>0</v>
      </c>
      <c r="M456" s="2" t="s">
        <v>100</v>
      </c>
      <c r="N456" s="2" t="s">
        <v>100</v>
      </c>
      <c r="O456" t="b">
        <v>1</v>
      </c>
      <c r="P456" s="2" t="s">
        <v>100</v>
      </c>
      <c r="Q456">
        <v>87.208323109393802</v>
      </c>
      <c r="R456" s="2" t="s">
        <v>100</v>
      </c>
      <c r="S456">
        <v>83.112582781456894</v>
      </c>
      <c r="T456">
        <v>0</v>
      </c>
      <c r="U456">
        <v>78</v>
      </c>
      <c r="V456" t="b">
        <v>1</v>
      </c>
      <c r="W456" t="b">
        <v>1</v>
      </c>
      <c r="X456">
        <v>58.045977011494202</v>
      </c>
    </row>
    <row r="457" spans="3:24" x14ac:dyDescent="0.35">
      <c r="C457" s="2" t="s">
        <v>42</v>
      </c>
      <c r="D457" s="3">
        <v>46022</v>
      </c>
      <c r="E457">
        <v>39.101851851851798</v>
      </c>
      <c r="F457">
        <v>58.774827241514103</v>
      </c>
      <c r="G457">
        <v>42.6654635721247</v>
      </c>
      <c r="H457">
        <v>48.436968861806598</v>
      </c>
      <c r="I457">
        <v>0</v>
      </c>
      <c r="J457">
        <v>100</v>
      </c>
      <c r="K457">
        <v>7</v>
      </c>
      <c r="L457" t="b">
        <v>0</v>
      </c>
      <c r="M457" s="2" t="s">
        <v>100</v>
      </c>
      <c r="N457" s="2" t="s">
        <v>100</v>
      </c>
      <c r="O457" s="2" t="s">
        <v>100</v>
      </c>
      <c r="P457" s="2" t="s">
        <v>100</v>
      </c>
      <c r="Q457">
        <v>2.7666229470866099</v>
      </c>
      <c r="R457" t="b">
        <v>0</v>
      </c>
      <c r="S457">
        <v>50</v>
      </c>
      <c r="T457" s="2" t="s">
        <v>100</v>
      </c>
      <c r="U457" s="2" t="s">
        <v>100</v>
      </c>
      <c r="V457" t="b">
        <v>0</v>
      </c>
      <c r="W457" t="b">
        <v>1</v>
      </c>
      <c r="X457">
        <v>57.803468208092397</v>
      </c>
    </row>
    <row r="458" spans="3:24" x14ac:dyDescent="0.35">
      <c r="C458" s="2" t="s">
        <v>42</v>
      </c>
      <c r="D458" s="3">
        <v>45657</v>
      </c>
      <c r="E458">
        <v>60.7799304520615</v>
      </c>
      <c r="F458">
        <v>66.838836220987204</v>
      </c>
      <c r="G458">
        <v>48.958149325796299</v>
      </c>
      <c r="H458">
        <v>56.991718029538198</v>
      </c>
      <c r="I458">
        <v>0</v>
      </c>
      <c r="J458">
        <v>100</v>
      </c>
      <c r="K458">
        <v>10</v>
      </c>
      <c r="L458" t="b">
        <v>0</v>
      </c>
      <c r="M458" s="2" t="s">
        <v>100</v>
      </c>
      <c r="N458" s="2" t="s">
        <v>100</v>
      </c>
      <c r="O458" s="2" t="s">
        <v>100</v>
      </c>
      <c r="P458" s="2" t="s">
        <v>100</v>
      </c>
      <c r="Q458">
        <v>2.99015855273346</v>
      </c>
      <c r="R458" t="b">
        <v>0</v>
      </c>
      <c r="S458">
        <v>50</v>
      </c>
      <c r="T458" s="2" t="s">
        <v>100</v>
      </c>
      <c r="U458" s="2" t="s">
        <v>100</v>
      </c>
      <c r="V458" t="b">
        <v>0</v>
      </c>
      <c r="W458" t="b">
        <v>1</v>
      </c>
      <c r="X458">
        <v>54.347826086956502</v>
      </c>
    </row>
    <row r="459" spans="3:24" x14ac:dyDescent="0.35">
      <c r="C459" s="2" t="s">
        <v>42</v>
      </c>
      <c r="D459" s="3">
        <v>45291</v>
      </c>
      <c r="E459">
        <v>78.923519009725794</v>
      </c>
      <c r="F459">
        <v>75.240183792815301</v>
      </c>
      <c r="G459">
        <v>45.947882031735702</v>
      </c>
      <c r="H459">
        <v>60.5123492679283</v>
      </c>
      <c r="I459">
        <v>0</v>
      </c>
      <c r="J459">
        <v>100</v>
      </c>
      <c r="K459">
        <v>7</v>
      </c>
      <c r="L459" t="b">
        <v>0</v>
      </c>
      <c r="M459" s="2" t="s">
        <v>100</v>
      </c>
      <c r="N459" s="2" t="s">
        <v>100</v>
      </c>
      <c r="O459" s="2" t="s">
        <v>100</v>
      </c>
      <c r="P459" s="2" t="s">
        <v>100</v>
      </c>
      <c r="Q459">
        <v>3.6545850058652198</v>
      </c>
      <c r="R459" t="b">
        <v>0</v>
      </c>
      <c r="S459">
        <v>50</v>
      </c>
      <c r="T459" s="2" t="s">
        <v>100</v>
      </c>
      <c r="U459" s="2" t="s">
        <v>100</v>
      </c>
      <c r="V459" t="b">
        <v>0</v>
      </c>
      <c r="W459" t="b">
        <v>1</v>
      </c>
      <c r="X459">
        <v>55.092592592592503</v>
      </c>
    </row>
    <row r="460" spans="3:24" x14ac:dyDescent="0.35">
      <c r="C460" s="2" t="s">
        <v>42</v>
      </c>
      <c r="D460" s="3">
        <v>44926</v>
      </c>
      <c r="E460">
        <v>63.172448466566003</v>
      </c>
      <c r="F460">
        <v>68.246110325318199</v>
      </c>
      <c r="G460">
        <v>54.785441691691602</v>
      </c>
      <c r="H460">
        <v>60.780287457215401</v>
      </c>
      <c r="I460">
        <v>6</v>
      </c>
      <c r="J460">
        <v>100</v>
      </c>
      <c r="K460">
        <v>8</v>
      </c>
      <c r="L460" t="b">
        <v>0</v>
      </c>
      <c r="M460" s="2" t="s">
        <v>100</v>
      </c>
      <c r="N460" s="2" t="s">
        <v>100</v>
      </c>
      <c r="O460" s="2" t="s">
        <v>100</v>
      </c>
      <c r="P460" s="2" t="s">
        <v>100</v>
      </c>
      <c r="Q460">
        <v>5.58586730087102</v>
      </c>
      <c r="R460" t="b">
        <v>0</v>
      </c>
      <c r="S460">
        <v>50</v>
      </c>
      <c r="T460" s="2" t="s">
        <v>100</v>
      </c>
      <c r="U460" s="2" t="s">
        <v>100</v>
      </c>
      <c r="V460" t="b">
        <v>0</v>
      </c>
      <c r="W460" t="b">
        <v>1</v>
      </c>
      <c r="X460">
        <v>54.950495049504902</v>
      </c>
    </row>
    <row r="461" spans="3:24" x14ac:dyDescent="0.35">
      <c r="C461" s="2" t="s">
        <v>42</v>
      </c>
      <c r="D461" s="3">
        <v>44561</v>
      </c>
      <c r="E461">
        <v>78.018292682926699</v>
      </c>
      <c r="F461">
        <v>73.076923076923094</v>
      </c>
      <c r="G461">
        <v>49.662707062751998</v>
      </c>
      <c r="H461">
        <v>61.510534604904002</v>
      </c>
      <c r="I461">
        <v>7.6</v>
      </c>
      <c r="J461">
        <v>100</v>
      </c>
      <c r="K461">
        <v>7</v>
      </c>
      <c r="L461" t="b">
        <v>0</v>
      </c>
      <c r="M461" s="2" t="s">
        <v>100</v>
      </c>
      <c r="N461" s="2" t="s">
        <v>100</v>
      </c>
      <c r="O461" s="2" t="s">
        <v>100</v>
      </c>
      <c r="P461" s="2" t="s">
        <v>100</v>
      </c>
      <c r="Q461">
        <v>7.48702111913025</v>
      </c>
      <c r="R461" s="2" t="s">
        <v>100</v>
      </c>
      <c r="S461">
        <v>50</v>
      </c>
      <c r="T461" s="2" t="s">
        <v>100</v>
      </c>
      <c r="U461" s="2" t="s">
        <v>100</v>
      </c>
      <c r="V461" t="b">
        <v>0</v>
      </c>
      <c r="W461" t="b">
        <v>1</v>
      </c>
      <c r="X461">
        <v>57.692307692307601</v>
      </c>
    </row>
    <row r="462" spans="3:24" x14ac:dyDescent="0.35">
      <c r="C462" s="2" t="s">
        <v>42</v>
      </c>
      <c r="D462" s="3">
        <v>44196</v>
      </c>
      <c r="E462">
        <v>79.3643263757114</v>
      </c>
      <c r="F462">
        <v>73.837371205792195</v>
      </c>
      <c r="G462">
        <v>57.865282865282801</v>
      </c>
      <c r="H462">
        <v>66.1697336264954</v>
      </c>
      <c r="I462">
        <v>7.4</v>
      </c>
      <c r="J462">
        <v>100</v>
      </c>
      <c r="K462">
        <v>6</v>
      </c>
      <c r="L462" t="b">
        <v>0</v>
      </c>
      <c r="M462" s="2" t="s">
        <v>100</v>
      </c>
      <c r="N462" s="2" t="s">
        <v>100</v>
      </c>
      <c r="O462" s="2" t="s">
        <v>100</v>
      </c>
      <c r="P462" s="2" t="s">
        <v>100</v>
      </c>
      <c r="Q462">
        <v>9.9636401822428908</v>
      </c>
      <c r="R462" s="2" t="s">
        <v>100</v>
      </c>
      <c r="S462">
        <v>50</v>
      </c>
      <c r="T462" s="2" t="s">
        <v>100</v>
      </c>
      <c r="U462" s="2" t="s">
        <v>100</v>
      </c>
      <c r="V462" t="b">
        <v>0</v>
      </c>
      <c r="W462" t="b">
        <v>1</v>
      </c>
      <c r="X462">
        <v>61.1111111111111</v>
      </c>
    </row>
    <row r="463" spans="3:24" x14ac:dyDescent="0.35">
      <c r="C463" s="2" t="s">
        <v>42</v>
      </c>
      <c r="D463" s="3">
        <v>43830</v>
      </c>
      <c r="E463">
        <v>75.952380952380906</v>
      </c>
      <c r="F463">
        <v>73.174374291894097</v>
      </c>
      <c r="G463">
        <v>41.834228304174601</v>
      </c>
      <c r="H463">
        <v>57.296958710197799</v>
      </c>
      <c r="I463">
        <v>13.9</v>
      </c>
      <c r="J463">
        <v>100</v>
      </c>
      <c r="K463">
        <v>5</v>
      </c>
      <c r="L463" t="b">
        <v>0</v>
      </c>
      <c r="M463" s="2" t="s">
        <v>100</v>
      </c>
      <c r="N463" s="2" t="s">
        <v>100</v>
      </c>
      <c r="O463" s="2" t="s">
        <v>100</v>
      </c>
      <c r="P463" s="2" t="s">
        <v>100</v>
      </c>
      <c r="Q463">
        <v>12.008762479708199</v>
      </c>
      <c r="R463" s="2" t="s">
        <v>100</v>
      </c>
      <c r="S463">
        <v>50</v>
      </c>
      <c r="T463" s="2" t="s">
        <v>100</v>
      </c>
      <c r="U463" s="2" t="s">
        <v>100</v>
      </c>
      <c r="V463" t="b">
        <v>0</v>
      </c>
      <c r="W463" t="b">
        <v>1</v>
      </c>
      <c r="X463">
        <v>62.328767123287598</v>
      </c>
    </row>
    <row r="464" spans="3:24" x14ac:dyDescent="0.35">
      <c r="C464" s="2" t="s">
        <v>42</v>
      </c>
      <c r="D464" s="3">
        <v>43465</v>
      </c>
      <c r="E464">
        <v>70.726495726495699</v>
      </c>
      <c r="F464">
        <v>70.945220193340504</v>
      </c>
      <c r="G464">
        <v>40.637354797332897</v>
      </c>
      <c r="H464">
        <v>55.291094542659103</v>
      </c>
      <c r="I464">
        <v>28.1</v>
      </c>
      <c r="J464">
        <v>100</v>
      </c>
      <c r="K464">
        <v>6</v>
      </c>
      <c r="L464" t="b">
        <v>0</v>
      </c>
      <c r="M464" s="2" t="s">
        <v>100</v>
      </c>
      <c r="N464" s="2" t="s">
        <v>100</v>
      </c>
      <c r="O464" s="2" t="s">
        <v>100</v>
      </c>
      <c r="P464" s="2" t="s">
        <v>100</v>
      </c>
      <c r="Q464">
        <v>13.9549058403905</v>
      </c>
      <c r="R464" s="2" t="s">
        <v>100</v>
      </c>
      <c r="S464">
        <v>50</v>
      </c>
      <c r="T464" s="2" t="s">
        <v>100</v>
      </c>
      <c r="U464" s="2" t="s">
        <v>100</v>
      </c>
      <c r="V464" t="b">
        <v>0</v>
      </c>
      <c r="W464" t="b">
        <v>1</v>
      </c>
      <c r="X464">
        <v>61.1111111111111</v>
      </c>
    </row>
    <row r="465" spans="3:24" x14ac:dyDescent="0.35">
      <c r="C465" s="2" t="s">
        <v>42</v>
      </c>
      <c r="D465" s="3">
        <v>43100</v>
      </c>
      <c r="E465">
        <v>75.337381916329306</v>
      </c>
      <c r="F465">
        <v>78.092959671906996</v>
      </c>
      <c r="G465">
        <v>24.941209532108601</v>
      </c>
      <c r="H465">
        <v>50.576174773260398</v>
      </c>
      <c r="I465">
        <v>29.9</v>
      </c>
      <c r="J465">
        <v>100</v>
      </c>
      <c r="K465">
        <v>6</v>
      </c>
      <c r="L465" t="b">
        <v>0</v>
      </c>
      <c r="M465" s="2" t="s">
        <v>100</v>
      </c>
      <c r="N465" s="2" t="s">
        <v>100</v>
      </c>
      <c r="O465" s="2" t="s">
        <v>100</v>
      </c>
      <c r="P465" s="2" t="s">
        <v>100</v>
      </c>
      <c r="Q465">
        <v>17.695432117423302</v>
      </c>
      <c r="R465" s="2" t="s">
        <v>100</v>
      </c>
      <c r="S465">
        <v>50</v>
      </c>
      <c r="T465" s="2" t="s">
        <v>100</v>
      </c>
      <c r="U465" s="2" t="s">
        <v>100</v>
      </c>
      <c r="V465" t="b">
        <v>0</v>
      </c>
      <c r="W465" t="b">
        <v>1</v>
      </c>
      <c r="X465">
        <v>66.363636363636303</v>
      </c>
    </row>
    <row r="466" spans="3:24" x14ac:dyDescent="0.35">
      <c r="C466" s="2" t="s">
        <v>42</v>
      </c>
      <c r="D466" s="3">
        <v>42735</v>
      </c>
      <c r="E466">
        <v>79.318181818181799</v>
      </c>
      <c r="F466">
        <v>72.084280468613301</v>
      </c>
      <c r="G466">
        <v>28.094469282993799</v>
      </c>
      <c r="H466">
        <v>50.142316099481398</v>
      </c>
      <c r="I466">
        <v>30.4</v>
      </c>
      <c r="J466">
        <v>83.3333333333333</v>
      </c>
      <c r="K466">
        <v>6</v>
      </c>
      <c r="L466" t="b">
        <v>0</v>
      </c>
      <c r="M466" s="2" t="s">
        <v>100</v>
      </c>
      <c r="N466" s="2" t="s">
        <v>100</v>
      </c>
      <c r="O466" s="2" t="s">
        <v>100</v>
      </c>
      <c r="P466" s="2" t="s">
        <v>100</v>
      </c>
      <c r="Q466">
        <v>18.497865737530599</v>
      </c>
      <c r="R466" s="2" t="s">
        <v>100</v>
      </c>
      <c r="S466">
        <v>50</v>
      </c>
      <c r="T466" s="2" t="s">
        <v>100</v>
      </c>
      <c r="U466" s="2" t="s">
        <v>100</v>
      </c>
      <c r="V466" t="b">
        <v>0</v>
      </c>
      <c r="W466" t="b">
        <v>1</v>
      </c>
      <c r="X466">
        <v>71.428571428571402</v>
      </c>
    </row>
    <row r="467" spans="3:24" x14ac:dyDescent="0.35">
      <c r="C467" s="2" t="s">
        <v>43</v>
      </c>
      <c r="D467" s="3">
        <v>46022</v>
      </c>
      <c r="E467">
        <v>72.533272616603398</v>
      </c>
      <c r="F467">
        <v>81.424820835368607</v>
      </c>
      <c r="G467">
        <v>60.991030092592503</v>
      </c>
      <c r="H467">
        <v>73.3232085473648</v>
      </c>
      <c r="I467">
        <v>171931</v>
      </c>
      <c r="J467">
        <v>72.727272727272705</v>
      </c>
      <c r="K467">
        <v>9</v>
      </c>
      <c r="L467" t="b">
        <v>1</v>
      </c>
      <c r="M467">
        <v>74402</v>
      </c>
      <c r="N467" s="2" t="s">
        <v>100</v>
      </c>
      <c r="O467" t="b">
        <v>1</v>
      </c>
      <c r="P467">
        <v>125000</v>
      </c>
      <c r="Q467">
        <v>69.909916611739803</v>
      </c>
      <c r="R467" t="b">
        <v>0</v>
      </c>
      <c r="S467">
        <v>55.824175824175803</v>
      </c>
      <c r="T467" s="2" t="s">
        <v>100</v>
      </c>
      <c r="U467" s="2" t="s">
        <v>100</v>
      </c>
      <c r="V467" t="b">
        <v>1</v>
      </c>
      <c r="W467" t="b">
        <v>1</v>
      </c>
      <c r="X467">
        <v>55.364806866952698</v>
      </c>
    </row>
    <row r="468" spans="3:24" x14ac:dyDescent="0.35">
      <c r="C468" s="2" t="s">
        <v>43</v>
      </c>
      <c r="D468" s="3">
        <v>45657</v>
      </c>
      <c r="E468">
        <v>74.423057954543907</v>
      </c>
      <c r="F468">
        <v>84.6240769224422</v>
      </c>
      <c r="G468">
        <v>45.018327150680101</v>
      </c>
      <c r="H468">
        <v>71.706319773365095</v>
      </c>
      <c r="I468">
        <v>166347</v>
      </c>
      <c r="J468">
        <v>50</v>
      </c>
      <c r="K468">
        <v>10</v>
      </c>
      <c r="L468" t="b">
        <v>1</v>
      </c>
      <c r="M468">
        <v>75070</v>
      </c>
      <c r="N468" s="2" t="s">
        <v>100</v>
      </c>
      <c r="O468" t="b">
        <v>1</v>
      </c>
      <c r="P468">
        <v>190000</v>
      </c>
      <c r="Q468">
        <v>70.2374273937494</v>
      </c>
      <c r="R468" t="b">
        <v>0</v>
      </c>
      <c r="S468">
        <v>59.497816593886398</v>
      </c>
      <c r="T468" s="2" t="s">
        <v>100</v>
      </c>
      <c r="U468">
        <v>67</v>
      </c>
      <c r="V468" t="b">
        <v>1</v>
      </c>
      <c r="W468" t="b">
        <v>1</v>
      </c>
      <c r="X468">
        <v>55.982905982905898</v>
      </c>
    </row>
    <row r="469" spans="3:24" x14ac:dyDescent="0.35">
      <c r="C469" s="2" t="s">
        <v>43</v>
      </c>
      <c r="D469" s="4">
        <v>45291</v>
      </c>
      <c r="E469" s="2">
        <v>76.420075996014305</v>
      </c>
      <c r="F469" s="2">
        <v>78.915113728781193</v>
      </c>
      <c r="G469" s="2">
        <v>62.223754043557697</v>
      </c>
      <c r="H469" s="2">
        <v>74.185516291221901</v>
      </c>
      <c r="I469" s="2">
        <v>150313</v>
      </c>
      <c r="J469" s="2">
        <v>58.3333333333333</v>
      </c>
      <c r="K469">
        <v>10</v>
      </c>
      <c r="L469" t="b">
        <v>1</v>
      </c>
      <c r="M469">
        <v>72147</v>
      </c>
      <c r="N469" s="2" t="s">
        <v>100</v>
      </c>
      <c r="O469" t="b">
        <v>1</v>
      </c>
      <c r="P469">
        <v>197000</v>
      </c>
      <c r="Q469">
        <v>71.154811864450707</v>
      </c>
      <c r="R469" t="b">
        <v>0</v>
      </c>
      <c r="S469">
        <v>62.472160356347402</v>
      </c>
      <c r="T469" s="2" t="s">
        <v>100</v>
      </c>
      <c r="U469">
        <v>68</v>
      </c>
      <c r="V469" t="b">
        <v>1</v>
      </c>
      <c r="W469" t="b">
        <v>1</v>
      </c>
      <c r="X469">
        <v>59.0322580645161</v>
      </c>
    </row>
    <row r="470" spans="3:24" x14ac:dyDescent="0.35">
      <c r="C470" s="2" t="s">
        <v>43</v>
      </c>
      <c r="D470" s="4">
        <v>44926</v>
      </c>
      <c r="E470" s="2">
        <v>85.552373997854303</v>
      </c>
      <c r="F470" s="2">
        <v>82.083937717617104</v>
      </c>
      <c r="G470" s="2">
        <v>71.537693943943907</v>
      </c>
      <c r="H470" s="2">
        <v>81.0934506165638</v>
      </c>
      <c r="I470" s="2">
        <v>175116</v>
      </c>
      <c r="J470" s="2">
        <v>70</v>
      </c>
      <c r="K470">
        <v>10</v>
      </c>
      <c r="L470" t="b">
        <v>1</v>
      </c>
      <c r="M470">
        <v>67128</v>
      </c>
      <c r="N470" s="2" t="s">
        <v>100</v>
      </c>
      <c r="O470" t="b">
        <v>1</v>
      </c>
      <c r="P470">
        <v>145000</v>
      </c>
      <c r="Q470">
        <v>73.521960578472303</v>
      </c>
      <c r="R470" t="b">
        <v>0</v>
      </c>
      <c r="S470">
        <v>67.775229357798096</v>
      </c>
      <c r="T470" s="2" t="s">
        <v>100</v>
      </c>
      <c r="U470">
        <v>68</v>
      </c>
      <c r="V470" t="b">
        <v>1</v>
      </c>
      <c r="W470" t="b">
        <v>1</v>
      </c>
      <c r="X470">
        <v>63.152173913043399</v>
      </c>
    </row>
    <row r="471" spans="3:24" x14ac:dyDescent="0.35">
      <c r="C471" s="2" t="s">
        <v>43</v>
      </c>
      <c r="D471" s="4">
        <v>44561</v>
      </c>
      <c r="E471" s="2">
        <v>92.570391207909694</v>
      </c>
      <c r="F471" s="2">
        <v>86.066215706037497</v>
      </c>
      <c r="G471" s="2">
        <v>71.568879763361295</v>
      </c>
      <c r="H471" s="2">
        <v>85.392252243912495</v>
      </c>
      <c r="I471" s="2">
        <v>179205</v>
      </c>
      <c r="J471" s="2">
        <v>66.6666666666666</v>
      </c>
      <c r="K471">
        <v>9</v>
      </c>
      <c r="L471" t="b">
        <v>1</v>
      </c>
      <c r="M471">
        <v>61422</v>
      </c>
      <c r="N471" s="2" t="s">
        <v>100</v>
      </c>
      <c r="O471" t="b">
        <v>1</v>
      </c>
      <c r="P471">
        <v>93000</v>
      </c>
      <c r="Q471">
        <v>75.621147307915805</v>
      </c>
      <c r="R471" t="b">
        <v>0</v>
      </c>
      <c r="S471">
        <v>80.854430379746802</v>
      </c>
      <c r="T471" s="2" t="s">
        <v>100</v>
      </c>
      <c r="U471" s="2" t="s">
        <v>100</v>
      </c>
      <c r="V471" t="b">
        <v>1</v>
      </c>
      <c r="W471" t="b">
        <v>1</v>
      </c>
      <c r="X471">
        <v>64.285714285714207</v>
      </c>
    </row>
    <row r="472" spans="3:24" x14ac:dyDescent="0.35">
      <c r="C472" s="2" t="s">
        <v>43</v>
      </c>
      <c r="D472" s="4">
        <v>44196</v>
      </c>
      <c r="E472" s="2">
        <v>92.346815615858105</v>
      </c>
      <c r="F472" s="2">
        <v>77.872620449795207</v>
      </c>
      <c r="G472" s="2">
        <v>65.546601546601494</v>
      </c>
      <c r="H472" s="2">
        <v>80.841625007993301</v>
      </c>
      <c r="I472" s="2">
        <v>169640</v>
      </c>
      <c r="J472" s="2">
        <v>55.5555555555555</v>
      </c>
      <c r="K472">
        <v>8</v>
      </c>
      <c r="L472" t="b">
        <v>1</v>
      </c>
      <c r="M472">
        <v>54673</v>
      </c>
      <c r="N472" s="2" t="s">
        <v>100</v>
      </c>
      <c r="O472" t="b">
        <v>1</v>
      </c>
      <c r="P472">
        <v>85000</v>
      </c>
      <c r="Q472">
        <v>78.200069035947806</v>
      </c>
      <c r="R472" t="b">
        <v>0</v>
      </c>
      <c r="S472">
        <v>79.545454545454504</v>
      </c>
      <c r="T472" s="2" t="s">
        <v>100</v>
      </c>
      <c r="U472" s="2" t="s">
        <v>100</v>
      </c>
      <c r="V472" t="b">
        <v>1</v>
      </c>
      <c r="W472" t="b">
        <v>1</v>
      </c>
      <c r="X472">
        <v>64.5833333333333</v>
      </c>
    </row>
    <row r="473" spans="3:24" x14ac:dyDescent="0.35">
      <c r="C473" s="2" t="s">
        <v>43</v>
      </c>
      <c r="D473" s="4">
        <v>43830</v>
      </c>
      <c r="E473" s="2">
        <v>89.777825244746595</v>
      </c>
      <c r="F473" s="2">
        <v>76.339799106607302</v>
      </c>
      <c r="G473" s="2">
        <v>72.340839540389098</v>
      </c>
      <c r="H473" s="2">
        <v>80.765053888685699</v>
      </c>
      <c r="I473" s="2">
        <v>152026</v>
      </c>
      <c r="J473" s="2">
        <v>55.5555555555555</v>
      </c>
      <c r="K473">
        <v>8</v>
      </c>
      <c r="L473" t="b">
        <v>1</v>
      </c>
      <c r="M473">
        <v>60336</v>
      </c>
      <c r="N473" s="2" t="s">
        <v>100</v>
      </c>
      <c r="O473" t="b">
        <v>1</v>
      </c>
      <c r="P473">
        <v>85000</v>
      </c>
      <c r="Q473">
        <v>80.269779293880703</v>
      </c>
      <c r="R473" s="2" t="s">
        <v>100</v>
      </c>
      <c r="S473">
        <v>79.257641921397294</v>
      </c>
      <c r="T473">
        <v>1.1000000000000001</v>
      </c>
      <c r="U473" s="2" t="s">
        <v>100</v>
      </c>
      <c r="V473" t="b">
        <v>1</v>
      </c>
      <c r="W473" t="b">
        <v>1</v>
      </c>
      <c r="X473">
        <v>64.3426294820717</v>
      </c>
    </row>
    <row r="474" spans="3:24" x14ac:dyDescent="0.35">
      <c r="C474" s="2" t="s">
        <v>43</v>
      </c>
      <c r="D474" s="4">
        <v>43465</v>
      </c>
      <c r="E474" s="2">
        <v>64.333612264555498</v>
      </c>
      <c r="F474" s="2">
        <v>78.664853673094697</v>
      </c>
      <c r="G474" s="2">
        <v>64.211361195547795</v>
      </c>
      <c r="H474" s="2">
        <v>69.749581675742405</v>
      </c>
      <c r="I474" s="2">
        <v>220387</v>
      </c>
      <c r="J474" s="2">
        <v>60</v>
      </c>
      <c r="K474">
        <v>9</v>
      </c>
      <c r="L474" t="b">
        <v>1</v>
      </c>
      <c r="M474">
        <v>69818</v>
      </c>
      <c r="N474" s="2" t="s">
        <v>100</v>
      </c>
      <c r="O474" t="b">
        <v>1</v>
      </c>
      <c r="P474">
        <v>95000</v>
      </c>
      <c r="Q474">
        <v>82.220517481419506</v>
      </c>
      <c r="R474" s="2" t="s">
        <v>100</v>
      </c>
      <c r="S474">
        <v>77.832512315270904</v>
      </c>
      <c r="T474">
        <v>3.5</v>
      </c>
      <c r="U474" s="2" t="s">
        <v>100</v>
      </c>
      <c r="V474" t="b">
        <v>1</v>
      </c>
      <c r="W474" t="b">
        <v>1</v>
      </c>
      <c r="X474">
        <v>64</v>
      </c>
    </row>
    <row r="475" spans="3:24" x14ac:dyDescent="0.35">
      <c r="C475" s="2" t="s">
        <v>43</v>
      </c>
      <c r="D475" s="4">
        <v>43100</v>
      </c>
      <c r="E475" s="2">
        <v>78.680194734196704</v>
      </c>
      <c r="F475" s="2">
        <v>79.289998591246402</v>
      </c>
      <c r="G475" s="2">
        <v>40.448007216857498</v>
      </c>
      <c r="H475" s="2">
        <v>70.341709582614001</v>
      </c>
      <c r="I475" s="2">
        <v>200994</v>
      </c>
      <c r="J475" s="2">
        <v>50</v>
      </c>
      <c r="K475">
        <v>8</v>
      </c>
      <c r="L475" t="b">
        <v>1</v>
      </c>
      <c r="M475">
        <v>62343</v>
      </c>
      <c r="N475" s="2" t="s">
        <v>100</v>
      </c>
      <c r="O475" t="b">
        <v>1</v>
      </c>
      <c r="P475">
        <v>107000</v>
      </c>
      <c r="Q475">
        <v>85.960763534790999</v>
      </c>
      <c r="R475" s="2" t="s">
        <v>100</v>
      </c>
      <c r="S475">
        <v>80.571428571428498</v>
      </c>
      <c r="T475">
        <v>2</v>
      </c>
      <c r="U475" s="2" t="s">
        <v>100</v>
      </c>
      <c r="V475" t="b">
        <v>1</v>
      </c>
      <c r="W475" t="b">
        <v>1</v>
      </c>
      <c r="X475">
        <v>67.929292929292899</v>
      </c>
    </row>
    <row r="476" spans="3:24" x14ac:dyDescent="0.35">
      <c r="C476" s="2" t="s">
        <v>43</v>
      </c>
      <c r="D476" s="3">
        <v>42735</v>
      </c>
      <c r="E476">
        <v>84.561726539447093</v>
      </c>
      <c r="F476">
        <v>77.615146868643194</v>
      </c>
      <c r="G476">
        <v>30.3445658773527</v>
      </c>
      <c r="H476">
        <v>69.769951049070698</v>
      </c>
      <c r="I476">
        <v>195900</v>
      </c>
      <c r="J476">
        <v>50</v>
      </c>
      <c r="K476">
        <v>8</v>
      </c>
      <c r="L476" t="b">
        <v>1</v>
      </c>
      <c r="M476">
        <v>52849</v>
      </c>
      <c r="N476" s="2" t="s">
        <v>100</v>
      </c>
      <c r="O476" t="b">
        <v>1</v>
      </c>
      <c r="P476">
        <v>102000</v>
      </c>
      <c r="Q476">
        <v>86.761782529177495</v>
      </c>
      <c r="R476" s="2" t="s">
        <v>100</v>
      </c>
      <c r="S476">
        <v>81.790123456790099</v>
      </c>
      <c r="T476">
        <v>2.1</v>
      </c>
      <c r="U476" s="2" t="s">
        <v>100</v>
      </c>
      <c r="V476" t="b">
        <v>1</v>
      </c>
      <c r="W476" t="b">
        <v>1</v>
      </c>
      <c r="X476">
        <v>67.679558011049707</v>
      </c>
    </row>
    <row r="477" spans="3:24" x14ac:dyDescent="0.35">
      <c r="C477" s="2" t="s">
        <v>44</v>
      </c>
      <c r="D477" s="3">
        <v>45565</v>
      </c>
      <c r="E477">
        <v>48.062231411239502</v>
      </c>
      <c r="F477">
        <v>75.613551058023006</v>
      </c>
      <c r="G477">
        <v>46.6656852931362</v>
      </c>
      <c r="H477">
        <v>58.394046948496197</v>
      </c>
      <c r="I477">
        <v>4635.1000000000004</v>
      </c>
      <c r="J477">
        <v>81.818181818181799</v>
      </c>
      <c r="K477">
        <v>10</v>
      </c>
      <c r="L477" t="b">
        <v>1</v>
      </c>
      <c r="M477">
        <v>270</v>
      </c>
      <c r="N477" s="2" t="s">
        <v>100</v>
      </c>
      <c r="O477" t="b">
        <v>1</v>
      </c>
      <c r="P477">
        <v>121915.7</v>
      </c>
      <c r="Q477">
        <v>70.2374273937494</v>
      </c>
      <c r="R477" t="b">
        <v>0</v>
      </c>
      <c r="S477">
        <v>32.159353348729702</v>
      </c>
      <c r="T477" s="2" t="s">
        <v>100</v>
      </c>
      <c r="U477">
        <v>76</v>
      </c>
      <c r="V477" t="b">
        <v>1</v>
      </c>
      <c r="W477" t="b">
        <v>1</v>
      </c>
      <c r="X477">
        <v>51.905829596412502</v>
      </c>
    </row>
    <row r="478" spans="3:24" x14ac:dyDescent="0.35">
      <c r="C478" s="2" t="s">
        <v>44</v>
      </c>
      <c r="D478" s="3">
        <v>45199</v>
      </c>
      <c r="E478">
        <v>45.758018784334503</v>
      </c>
      <c r="F478">
        <v>66.388087642539304</v>
      </c>
      <c r="G478">
        <v>45.614936159093098</v>
      </c>
      <c r="H478">
        <v>53.912018271425197</v>
      </c>
      <c r="I478">
        <v>4481.1000000000004</v>
      </c>
      <c r="J478">
        <v>81.818181818181799</v>
      </c>
      <c r="K478">
        <v>11</v>
      </c>
      <c r="L478" t="b">
        <v>1</v>
      </c>
      <c r="M478">
        <v>354</v>
      </c>
      <c r="N478" s="2" t="s">
        <v>100</v>
      </c>
      <c r="O478" t="b">
        <v>1</v>
      </c>
      <c r="P478">
        <v>137153.5</v>
      </c>
      <c r="Q478">
        <v>71.154811864450707</v>
      </c>
      <c r="R478" t="b">
        <v>0</v>
      </c>
      <c r="S478">
        <v>32.397660818713398</v>
      </c>
      <c r="T478" s="2" t="s">
        <v>100</v>
      </c>
      <c r="U478">
        <v>76</v>
      </c>
      <c r="V478" t="b">
        <v>1</v>
      </c>
      <c r="W478" t="b">
        <v>1</v>
      </c>
      <c r="X478">
        <v>52.423900789176997</v>
      </c>
    </row>
    <row r="479" spans="3:24" x14ac:dyDescent="0.35">
      <c r="C479" s="2" t="s">
        <v>44</v>
      </c>
      <c r="D479" s="3">
        <v>44834</v>
      </c>
      <c r="E479">
        <v>47.324624235395703</v>
      </c>
      <c r="F479">
        <v>68.418871290616593</v>
      </c>
      <c r="G479">
        <v>43.3541666666666</v>
      </c>
      <c r="H479">
        <v>53.892557220454897</v>
      </c>
      <c r="I479">
        <v>4303.3999999999996</v>
      </c>
      <c r="J479">
        <v>80</v>
      </c>
      <c r="K479">
        <v>9</v>
      </c>
      <c r="L479" t="b">
        <v>1</v>
      </c>
      <c r="M479">
        <v>446</v>
      </c>
      <c r="N479" s="2" t="s">
        <v>100</v>
      </c>
      <c r="O479" t="b">
        <v>1</v>
      </c>
      <c r="P479">
        <v>425923.2</v>
      </c>
      <c r="Q479">
        <v>73.521960578472303</v>
      </c>
      <c r="R479" t="b">
        <v>0</v>
      </c>
      <c r="S479">
        <v>33.293556085918802</v>
      </c>
      <c r="T479" s="2" t="s">
        <v>100</v>
      </c>
      <c r="U479">
        <v>79</v>
      </c>
      <c r="V479" t="b">
        <v>1</v>
      </c>
      <c r="W479" t="b">
        <v>1</v>
      </c>
      <c r="X479">
        <v>53.518728717366599</v>
      </c>
    </row>
    <row r="480" spans="3:24" x14ac:dyDescent="0.35">
      <c r="C480" s="2" t="s">
        <v>44</v>
      </c>
      <c r="D480" s="3">
        <v>44469</v>
      </c>
      <c r="E480">
        <v>46.869489836718799</v>
      </c>
      <c r="F480">
        <v>55.767824373482</v>
      </c>
      <c r="G480">
        <v>31.116322349885799</v>
      </c>
      <c r="H480">
        <v>43.125715300904801</v>
      </c>
      <c r="I480">
        <v>5387</v>
      </c>
      <c r="J480">
        <v>70</v>
      </c>
      <c r="K480">
        <v>10</v>
      </c>
      <c r="L480" t="b">
        <v>1</v>
      </c>
      <c r="M480">
        <v>298</v>
      </c>
      <c r="N480" s="2" t="s">
        <v>100</v>
      </c>
      <c r="O480" t="b">
        <v>1</v>
      </c>
      <c r="P480">
        <v>381759.2</v>
      </c>
      <c r="Q480">
        <v>75.621147307915805</v>
      </c>
      <c r="R480" t="b">
        <v>0</v>
      </c>
      <c r="S480">
        <v>33.921015514809497</v>
      </c>
      <c r="T480">
        <v>6.0000000000000001E-3</v>
      </c>
      <c r="U480" s="2" t="s">
        <v>100</v>
      </c>
      <c r="V480" t="b">
        <v>1</v>
      </c>
      <c r="W480" t="b">
        <v>1</v>
      </c>
      <c r="X480">
        <v>54.298941798941797</v>
      </c>
    </row>
    <row r="481" spans="3:24" x14ac:dyDescent="0.35">
      <c r="C481" s="2" t="s">
        <v>44</v>
      </c>
      <c r="D481" s="3">
        <v>44104</v>
      </c>
      <c r="E481">
        <v>38.843940079977301</v>
      </c>
      <c r="F481">
        <v>58.003658409025697</v>
      </c>
      <c r="G481">
        <v>28.124542124542099</v>
      </c>
      <c r="H481">
        <v>41.518142416800401</v>
      </c>
      <c r="I481">
        <v>10092</v>
      </c>
      <c r="J481">
        <v>66.6666666666666</v>
      </c>
      <c r="K481">
        <v>9</v>
      </c>
      <c r="L481" t="b">
        <v>1</v>
      </c>
      <c r="M481">
        <v>669</v>
      </c>
      <c r="N481" s="2" t="s">
        <v>100</v>
      </c>
      <c r="O481" t="b">
        <v>1</v>
      </c>
      <c r="P481">
        <v>326984</v>
      </c>
      <c r="Q481">
        <v>78.200069035947806</v>
      </c>
      <c r="R481" t="b">
        <v>0</v>
      </c>
      <c r="S481">
        <v>34.146341463414601</v>
      </c>
      <c r="T481" s="2" t="s">
        <v>100</v>
      </c>
      <c r="U481" s="2" t="s">
        <v>100</v>
      </c>
      <c r="V481" t="b">
        <v>0</v>
      </c>
      <c r="W481" t="b">
        <v>1</v>
      </c>
      <c r="X481">
        <v>55.097451274362797</v>
      </c>
    </row>
    <row r="482" spans="3:24" x14ac:dyDescent="0.35">
      <c r="C482" s="2" t="s">
        <v>44</v>
      </c>
      <c r="D482" s="3">
        <v>43738</v>
      </c>
      <c r="E482">
        <v>37.331767863133102</v>
      </c>
      <c r="F482">
        <v>58.618055933777498</v>
      </c>
      <c r="G482">
        <v>66.434147468098601</v>
      </c>
      <c r="H482">
        <v>59.279847502834102</v>
      </c>
      <c r="I482">
        <v>12875</v>
      </c>
      <c r="J482">
        <v>72.727272727272705</v>
      </c>
      <c r="K482">
        <v>10</v>
      </c>
      <c r="L482" t="b">
        <v>1</v>
      </c>
      <c r="M482">
        <v>282</v>
      </c>
      <c r="N482" s="2" t="s">
        <v>100</v>
      </c>
      <c r="O482" t="b">
        <v>1</v>
      </c>
      <c r="P482">
        <v>281411.20000000001</v>
      </c>
      <c r="Q482">
        <v>80.269779293880703</v>
      </c>
      <c r="R482" s="2" t="s">
        <v>100</v>
      </c>
      <c r="S482">
        <v>35.140997830802597</v>
      </c>
      <c r="T482" s="2" t="s">
        <v>100</v>
      </c>
      <c r="U482" s="2" t="s">
        <v>100</v>
      </c>
      <c r="V482" t="b">
        <v>0</v>
      </c>
      <c r="W482" t="b">
        <v>1</v>
      </c>
      <c r="X482">
        <v>56.822612085769897</v>
      </c>
    </row>
    <row r="483" spans="3:24" x14ac:dyDescent="0.35">
      <c r="C483" s="2" t="s">
        <v>44</v>
      </c>
      <c r="D483" s="3">
        <v>43373</v>
      </c>
      <c r="E483">
        <v>27.584205933682298</v>
      </c>
      <c r="F483">
        <v>49.020932110789097</v>
      </c>
      <c r="G483">
        <v>55.427629207129797</v>
      </c>
      <c r="H483">
        <v>49.009678290165901</v>
      </c>
      <c r="I483">
        <v>12646</v>
      </c>
      <c r="J483">
        <v>55.5555555555555</v>
      </c>
      <c r="K483">
        <v>8</v>
      </c>
      <c r="L483" t="b">
        <v>1</v>
      </c>
      <c r="M483" s="2" t="s">
        <v>100</v>
      </c>
      <c r="N483" s="2" t="s">
        <v>100</v>
      </c>
      <c r="O483" t="b">
        <v>1</v>
      </c>
      <c r="P483" s="2" t="s">
        <v>100</v>
      </c>
      <c r="Q483">
        <v>82.220517481419506</v>
      </c>
      <c r="R483" s="2" t="s">
        <v>100</v>
      </c>
      <c r="S483">
        <v>35.953608247422601</v>
      </c>
      <c r="T483" s="2" t="s">
        <v>100</v>
      </c>
      <c r="U483" s="2" t="s">
        <v>100</v>
      </c>
      <c r="V483" t="b">
        <v>0</v>
      </c>
      <c r="W483" t="b">
        <v>1</v>
      </c>
      <c r="X483">
        <v>57.093821510297403</v>
      </c>
    </row>
    <row r="484" spans="3:24" x14ac:dyDescent="0.35">
      <c r="C484" s="2" t="s">
        <v>44</v>
      </c>
      <c r="D484" s="3">
        <v>43008</v>
      </c>
      <c r="E484">
        <v>25.931079502508101</v>
      </c>
      <c r="F484">
        <v>47.323360017862598</v>
      </c>
      <c r="G484">
        <v>56.588547017024297</v>
      </c>
      <c r="H484">
        <v>48.640970588607999</v>
      </c>
      <c r="I484">
        <v>13121</v>
      </c>
      <c r="J484">
        <v>70</v>
      </c>
      <c r="K484">
        <v>8</v>
      </c>
      <c r="L484" t="b">
        <v>1</v>
      </c>
      <c r="M484" s="2" t="s">
        <v>100</v>
      </c>
      <c r="N484" s="2" t="s">
        <v>100</v>
      </c>
      <c r="O484" t="b">
        <v>1</v>
      </c>
      <c r="P484" s="2" t="s">
        <v>100</v>
      </c>
      <c r="Q484">
        <v>85.960763534790999</v>
      </c>
      <c r="R484" s="2" t="s">
        <v>100</v>
      </c>
      <c r="S484">
        <v>35.779816513761403</v>
      </c>
      <c r="T484" s="2" t="s">
        <v>100</v>
      </c>
      <c r="U484" s="2" t="s">
        <v>100</v>
      </c>
      <c r="V484" t="b">
        <v>0</v>
      </c>
      <c r="W484" t="b">
        <v>1</v>
      </c>
      <c r="X484">
        <v>58.005249343831998</v>
      </c>
    </row>
    <row r="485" spans="3:24" x14ac:dyDescent="0.35">
      <c r="C485" s="2" t="s">
        <v>44</v>
      </c>
      <c r="D485" s="3">
        <v>42643</v>
      </c>
      <c r="E485">
        <v>58.216743780949898</v>
      </c>
      <c r="F485">
        <v>43.806002060704202</v>
      </c>
      <c r="G485">
        <v>71.016586631340701</v>
      </c>
      <c r="H485">
        <v>58.397480918307899</v>
      </c>
      <c r="I485">
        <v>16361</v>
      </c>
      <c r="J485">
        <v>62.5</v>
      </c>
      <c r="K485">
        <v>8</v>
      </c>
      <c r="L485" t="b">
        <v>1</v>
      </c>
      <c r="M485" s="2" t="s">
        <v>100</v>
      </c>
      <c r="N485" s="2" t="s">
        <v>100</v>
      </c>
      <c r="O485" t="b">
        <v>0</v>
      </c>
      <c r="P485" s="2" t="s">
        <v>100</v>
      </c>
      <c r="Q485">
        <v>18.497865737530599</v>
      </c>
      <c r="R485" s="2" t="s">
        <v>100</v>
      </c>
      <c r="S485">
        <v>34.798534798534703</v>
      </c>
      <c r="T485" s="2" t="s">
        <v>100</v>
      </c>
      <c r="U485" s="2" t="s">
        <v>100</v>
      </c>
      <c r="V485" t="b">
        <v>1</v>
      </c>
      <c r="W485" t="b">
        <v>1</v>
      </c>
      <c r="X485">
        <v>57.028753993610202</v>
      </c>
    </row>
    <row r="486" spans="3:24" x14ac:dyDescent="0.35">
      <c r="C486" s="2" t="s">
        <v>44</v>
      </c>
      <c r="D486" s="3">
        <v>42277</v>
      </c>
      <c r="E486">
        <v>55.340038314176198</v>
      </c>
      <c r="F486">
        <v>57.2064418384916</v>
      </c>
      <c r="G486">
        <v>54.849292889703797</v>
      </c>
      <c r="H486">
        <v>55.856640807399501</v>
      </c>
      <c r="I486">
        <v>25965</v>
      </c>
      <c r="J486">
        <v>55.5555555555555</v>
      </c>
      <c r="K486">
        <v>8</v>
      </c>
      <c r="L486" t="b">
        <v>1</v>
      </c>
      <c r="M486" s="2" t="s">
        <v>100</v>
      </c>
      <c r="N486" s="2" t="s">
        <v>100</v>
      </c>
      <c r="O486" t="b">
        <v>0</v>
      </c>
      <c r="P486" s="2" t="s">
        <v>100</v>
      </c>
      <c r="Q486">
        <v>18.9460637435099</v>
      </c>
      <c r="R486" s="2" t="s">
        <v>100</v>
      </c>
      <c r="S486">
        <v>80.094786729857802</v>
      </c>
      <c r="T486" s="2" t="s">
        <v>100</v>
      </c>
      <c r="U486" s="2" t="s">
        <v>100</v>
      </c>
      <c r="V486" t="b">
        <v>1</v>
      </c>
      <c r="W486" t="b">
        <v>1</v>
      </c>
      <c r="X486">
        <v>59.4</v>
      </c>
    </row>
    <row r="487" spans="3:24" x14ac:dyDescent="0.35">
      <c r="C487" s="2" t="s">
        <v>45</v>
      </c>
      <c r="D487" s="3">
        <v>45657</v>
      </c>
      <c r="E487">
        <v>87.494833025037096</v>
      </c>
      <c r="F487">
        <v>63.250994281535903</v>
      </c>
      <c r="G487">
        <v>62.538216320895998</v>
      </c>
      <c r="H487">
        <v>66.198394929746797</v>
      </c>
      <c r="I487">
        <v>14797</v>
      </c>
      <c r="J487">
        <v>73.3333333333333</v>
      </c>
      <c r="K487">
        <v>13</v>
      </c>
      <c r="L487" t="b">
        <v>1</v>
      </c>
      <c r="M487">
        <v>946</v>
      </c>
      <c r="N487" s="2" t="s">
        <v>100</v>
      </c>
      <c r="O487" t="b">
        <v>1</v>
      </c>
      <c r="P487">
        <v>703129.47</v>
      </c>
      <c r="Q487">
        <v>70.2374273937494</v>
      </c>
      <c r="R487" t="b">
        <v>1</v>
      </c>
      <c r="S487">
        <v>31.395348837209301</v>
      </c>
      <c r="T487" s="2" t="s">
        <v>100</v>
      </c>
      <c r="U487">
        <v>91</v>
      </c>
      <c r="V487" t="b">
        <v>1</v>
      </c>
      <c r="W487" t="b">
        <v>1</v>
      </c>
      <c r="X487">
        <v>50.980392156862699</v>
      </c>
    </row>
    <row r="488" spans="3:24" x14ac:dyDescent="0.35">
      <c r="C488" s="2" t="s">
        <v>45</v>
      </c>
      <c r="D488" s="3">
        <v>45291</v>
      </c>
      <c r="E488">
        <v>90.661171221416595</v>
      </c>
      <c r="F488">
        <v>65.542599996151196</v>
      </c>
      <c r="G488">
        <v>60.844934627271797</v>
      </c>
      <c r="H488">
        <v>67.012676678634804</v>
      </c>
      <c r="I488">
        <v>15376</v>
      </c>
      <c r="J488">
        <v>66.6666666666666</v>
      </c>
      <c r="K488">
        <v>12</v>
      </c>
      <c r="L488" t="b">
        <v>1</v>
      </c>
      <c r="M488">
        <v>914</v>
      </c>
      <c r="N488" s="2" t="s">
        <v>100</v>
      </c>
      <c r="O488" t="b">
        <v>1</v>
      </c>
      <c r="P488">
        <v>464323.2</v>
      </c>
      <c r="Q488">
        <v>71.154811864450707</v>
      </c>
      <c r="R488" t="b">
        <v>0</v>
      </c>
      <c r="S488">
        <v>33.163265306122398</v>
      </c>
      <c r="T488" s="2" t="s">
        <v>100</v>
      </c>
      <c r="U488">
        <v>88</v>
      </c>
      <c r="V488" t="b">
        <v>1</v>
      </c>
      <c r="W488" t="b">
        <v>1</v>
      </c>
      <c r="X488">
        <v>51.650165016501603</v>
      </c>
    </row>
    <row r="489" spans="3:24" x14ac:dyDescent="0.35">
      <c r="C489" s="2" t="s">
        <v>45</v>
      </c>
      <c r="D489" s="3">
        <v>44926</v>
      </c>
      <c r="E489">
        <v>92.424625578493007</v>
      </c>
      <c r="F489">
        <v>62.603812031725099</v>
      </c>
      <c r="G489">
        <v>77.1284722222222</v>
      </c>
      <c r="H489">
        <v>72.389784580826301</v>
      </c>
      <c r="I489">
        <v>16363</v>
      </c>
      <c r="J489">
        <v>73.3333333333333</v>
      </c>
      <c r="K489">
        <v>12</v>
      </c>
      <c r="L489" t="b">
        <v>1</v>
      </c>
      <c r="M489">
        <v>1492</v>
      </c>
      <c r="N489" s="2" t="s">
        <v>100</v>
      </c>
      <c r="O489" t="b">
        <v>1</v>
      </c>
      <c r="P489">
        <v>392016.76</v>
      </c>
      <c r="Q489">
        <v>73.521960578472303</v>
      </c>
      <c r="R489" t="b">
        <v>0</v>
      </c>
      <c r="S489">
        <v>32.8231292517006</v>
      </c>
      <c r="T489" s="2" t="s">
        <v>100</v>
      </c>
      <c r="U489">
        <v>86</v>
      </c>
      <c r="V489" t="b">
        <v>1</v>
      </c>
      <c r="W489" t="b">
        <v>1</v>
      </c>
      <c r="X489">
        <v>52.741935483870897</v>
      </c>
    </row>
    <row r="490" spans="3:24" x14ac:dyDescent="0.35">
      <c r="C490" s="2" t="s">
        <v>45</v>
      </c>
      <c r="D490" s="3">
        <v>44561</v>
      </c>
      <c r="E490">
        <v>93.590163894966594</v>
      </c>
      <c r="F490">
        <v>60.186088087111898</v>
      </c>
      <c r="G490">
        <v>79.881125940093398</v>
      </c>
      <c r="H490">
        <v>72.517980002685206</v>
      </c>
      <c r="I490">
        <v>20023</v>
      </c>
      <c r="J490">
        <v>75</v>
      </c>
      <c r="K490">
        <v>12</v>
      </c>
      <c r="L490" t="b">
        <v>1</v>
      </c>
      <c r="M490">
        <v>926</v>
      </c>
      <c r="N490" s="2" t="s">
        <v>100</v>
      </c>
      <c r="O490" t="b">
        <v>1</v>
      </c>
      <c r="P490" s="2" t="s">
        <v>100</v>
      </c>
      <c r="Q490">
        <v>75.621147307915805</v>
      </c>
      <c r="R490" s="2" t="s">
        <v>100</v>
      </c>
      <c r="S490">
        <v>33.3333333333333</v>
      </c>
      <c r="T490" s="2" t="s">
        <v>100</v>
      </c>
      <c r="U490">
        <v>72</v>
      </c>
      <c r="V490" t="b">
        <v>1</v>
      </c>
      <c r="W490" t="b">
        <v>1</v>
      </c>
      <c r="X490">
        <v>54.266211604095503</v>
      </c>
    </row>
    <row r="491" spans="3:24" x14ac:dyDescent="0.35">
      <c r="C491" s="2" t="s">
        <v>45</v>
      </c>
      <c r="D491" s="3">
        <v>44196</v>
      </c>
      <c r="E491">
        <v>80.0935868433954</v>
      </c>
      <c r="F491">
        <v>61.012035849687699</v>
      </c>
      <c r="G491">
        <v>86.015059015058995</v>
      </c>
      <c r="H491">
        <v>73.557451914997301</v>
      </c>
      <c r="I491">
        <v>23223</v>
      </c>
      <c r="J491">
        <v>72.727272727272705</v>
      </c>
      <c r="K491">
        <v>9</v>
      </c>
      <c r="L491" t="b">
        <v>1</v>
      </c>
      <c r="M491">
        <v>1424</v>
      </c>
      <c r="N491" s="2" t="s">
        <v>100</v>
      </c>
      <c r="O491" t="b">
        <v>1</v>
      </c>
      <c r="P491" s="2" t="s">
        <v>100</v>
      </c>
      <c r="Q491">
        <v>78.200069035947806</v>
      </c>
      <c r="R491" s="2" t="s">
        <v>100</v>
      </c>
      <c r="S491">
        <v>34.322033898305101</v>
      </c>
      <c r="T491" s="2" t="s">
        <v>100</v>
      </c>
      <c r="U491">
        <v>80</v>
      </c>
      <c r="V491" t="b">
        <v>1</v>
      </c>
      <c r="W491" t="b">
        <v>1</v>
      </c>
      <c r="X491">
        <v>54.1015625</v>
      </c>
    </row>
    <row r="492" spans="3:24" x14ac:dyDescent="0.35">
      <c r="C492" s="2" t="s">
        <v>45</v>
      </c>
      <c r="D492" s="3">
        <v>43830</v>
      </c>
      <c r="E492">
        <v>92.2756649088616</v>
      </c>
      <c r="F492">
        <v>61.545868358322402</v>
      </c>
      <c r="G492">
        <v>85.905421791096401</v>
      </c>
      <c r="H492">
        <v>74.261312878061304</v>
      </c>
      <c r="I492">
        <v>36870</v>
      </c>
      <c r="J492">
        <v>64.285714285714207</v>
      </c>
      <c r="K492">
        <v>10</v>
      </c>
      <c r="L492" t="b">
        <v>1</v>
      </c>
      <c r="M492">
        <v>3462</v>
      </c>
      <c r="N492" s="2" t="s">
        <v>100</v>
      </c>
      <c r="O492" t="b">
        <v>1</v>
      </c>
      <c r="P492" s="2" t="s">
        <v>100</v>
      </c>
      <c r="Q492">
        <v>80.269779293880703</v>
      </c>
      <c r="R492" s="2" t="s">
        <v>100</v>
      </c>
      <c r="S492">
        <v>35.683760683760603</v>
      </c>
      <c r="T492" s="2" t="s">
        <v>100</v>
      </c>
      <c r="U492">
        <v>73</v>
      </c>
      <c r="V492" t="b">
        <v>1</v>
      </c>
      <c r="W492" t="b">
        <v>1</v>
      </c>
      <c r="X492">
        <v>52.459016393442603</v>
      </c>
    </row>
    <row r="493" spans="3:24" x14ac:dyDescent="0.35">
      <c r="C493" s="2" t="s">
        <v>45</v>
      </c>
      <c r="D493" s="3">
        <v>43465</v>
      </c>
      <c r="E493">
        <v>90.819795485240206</v>
      </c>
      <c r="F493">
        <v>68.086908475900998</v>
      </c>
      <c r="G493">
        <v>84.765341864286498</v>
      </c>
      <c r="H493">
        <v>76.875495830753394</v>
      </c>
      <c r="I493">
        <v>41210</v>
      </c>
      <c r="J493">
        <v>58.3333333333333</v>
      </c>
      <c r="K493">
        <v>11</v>
      </c>
      <c r="L493" t="b">
        <v>1</v>
      </c>
      <c r="M493">
        <v>3792</v>
      </c>
      <c r="N493" s="2" t="s">
        <v>100</v>
      </c>
      <c r="O493" t="b">
        <v>1</v>
      </c>
      <c r="P493" s="2" t="s">
        <v>100</v>
      </c>
      <c r="Q493">
        <v>82.220517481419506</v>
      </c>
      <c r="R493" s="2" t="s">
        <v>100</v>
      </c>
      <c r="S493">
        <v>36.842105263157798</v>
      </c>
      <c r="T493" s="2" t="s">
        <v>100</v>
      </c>
      <c r="U493">
        <v>74</v>
      </c>
      <c r="V493" t="b">
        <v>1</v>
      </c>
      <c r="W493" t="b">
        <v>1</v>
      </c>
      <c r="X493">
        <v>53.196347031963398</v>
      </c>
    </row>
    <row r="494" spans="3:24" x14ac:dyDescent="0.35">
      <c r="C494" s="2" t="s">
        <v>45</v>
      </c>
      <c r="D494" s="3">
        <v>43100</v>
      </c>
      <c r="E494">
        <v>94.995152634312404</v>
      </c>
      <c r="F494">
        <v>65.625490788281397</v>
      </c>
      <c r="G494">
        <v>80.942088023936506</v>
      </c>
      <c r="H494">
        <v>74.862412445602899</v>
      </c>
      <c r="I494">
        <v>49195</v>
      </c>
      <c r="J494">
        <v>64.285714285714207</v>
      </c>
      <c r="K494">
        <v>12</v>
      </c>
      <c r="L494" t="b">
        <v>1</v>
      </c>
      <c r="M494">
        <v>4575</v>
      </c>
      <c r="N494" s="2" t="s">
        <v>100</v>
      </c>
      <c r="O494" t="b">
        <v>1</v>
      </c>
      <c r="P494" s="2" t="s">
        <v>100</v>
      </c>
      <c r="Q494">
        <v>85.960763534790999</v>
      </c>
      <c r="R494" s="2" t="s">
        <v>100</v>
      </c>
      <c r="S494">
        <v>37.121212121212103</v>
      </c>
      <c r="T494" s="2" t="s">
        <v>100</v>
      </c>
      <c r="U494">
        <v>75</v>
      </c>
      <c r="V494" t="b">
        <v>1</v>
      </c>
      <c r="W494" t="b">
        <v>1</v>
      </c>
      <c r="X494">
        <v>54.883720930232499</v>
      </c>
    </row>
    <row r="495" spans="3:24" x14ac:dyDescent="0.35">
      <c r="C495" s="2" t="s">
        <v>45</v>
      </c>
      <c r="D495" s="3">
        <v>42735</v>
      </c>
      <c r="E495">
        <v>95.961895102868695</v>
      </c>
      <c r="F495">
        <v>67.766142881329898</v>
      </c>
      <c r="G495">
        <v>82.082160401832496</v>
      </c>
      <c r="H495">
        <v>76.749975182578396</v>
      </c>
      <c r="I495">
        <v>60218</v>
      </c>
      <c r="J495">
        <v>71.428571428571402</v>
      </c>
      <c r="K495">
        <v>14</v>
      </c>
      <c r="L495" t="b">
        <v>1</v>
      </c>
      <c r="M495">
        <v>4431</v>
      </c>
      <c r="N495" s="2" t="s">
        <v>100</v>
      </c>
      <c r="O495" t="b">
        <v>1</v>
      </c>
      <c r="P495" s="2" t="s">
        <v>100</v>
      </c>
      <c r="Q495">
        <v>86.761782529177495</v>
      </c>
      <c r="R495" s="2" t="s">
        <v>100</v>
      </c>
      <c r="S495">
        <v>38.031914893617</v>
      </c>
      <c r="T495" s="2" t="s">
        <v>100</v>
      </c>
      <c r="U495">
        <v>76</v>
      </c>
      <c r="V495" t="b">
        <v>1</v>
      </c>
      <c r="W495" t="b">
        <v>1</v>
      </c>
      <c r="X495">
        <v>55.097087378640701</v>
      </c>
    </row>
    <row r="496" spans="3:24" x14ac:dyDescent="0.35">
      <c r="C496" s="2" t="s">
        <v>45</v>
      </c>
      <c r="D496" s="3">
        <v>42369</v>
      </c>
      <c r="E496">
        <v>94.731163081876304</v>
      </c>
      <c r="F496">
        <v>79.611939340625298</v>
      </c>
      <c r="G496">
        <v>76.705696542135001</v>
      </c>
      <c r="H496">
        <v>80.0551753806797</v>
      </c>
      <c r="I496">
        <v>68707</v>
      </c>
      <c r="J496">
        <v>71.428571428571402</v>
      </c>
      <c r="K496">
        <v>12</v>
      </c>
      <c r="L496" t="b">
        <v>1</v>
      </c>
      <c r="M496">
        <v>5821</v>
      </c>
      <c r="N496" s="2" t="s">
        <v>100</v>
      </c>
      <c r="O496" t="b">
        <v>1</v>
      </c>
      <c r="P496" s="2" t="s">
        <v>100</v>
      </c>
      <c r="Q496">
        <v>87.208323109393802</v>
      </c>
      <c r="R496" s="2" t="s">
        <v>100</v>
      </c>
      <c r="S496">
        <v>92.384105960264904</v>
      </c>
      <c r="T496" s="2" t="s">
        <v>100</v>
      </c>
      <c r="U496">
        <v>70</v>
      </c>
      <c r="V496" t="b">
        <v>1</v>
      </c>
      <c r="W496" t="b">
        <v>1</v>
      </c>
      <c r="X496">
        <v>58.045977011494202</v>
      </c>
    </row>
    <row r="497" spans="3:24" x14ac:dyDescent="0.35">
      <c r="C497" s="2" t="s">
        <v>46</v>
      </c>
      <c r="D497" s="3">
        <v>45657</v>
      </c>
      <c r="E497">
        <v>58.120995930913203</v>
      </c>
      <c r="F497">
        <v>53.320749160689502</v>
      </c>
      <c r="G497">
        <v>68.896927973725298</v>
      </c>
      <c r="H497">
        <v>59.237005202025102</v>
      </c>
      <c r="I497">
        <v>192000</v>
      </c>
      <c r="J497">
        <v>64.285714285714207</v>
      </c>
      <c r="K497">
        <v>11</v>
      </c>
      <c r="L497" t="b">
        <v>1</v>
      </c>
      <c r="M497">
        <v>31700</v>
      </c>
      <c r="N497" s="2" t="s">
        <v>100</v>
      </c>
      <c r="O497" t="b">
        <v>1</v>
      </c>
      <c r="P497">
        <v>687708</v>
      </c>
      <c r="Q497">
        <v>70.2374273937494</v>
      </c>
      <c r="R497" t="b">
        <v>0</v>
      </c>
      <c r="S497">
        <v>7.0776255707762497</v>
      </c>
      <c r="T497" s="2" t="s">
        <v>100</v>
      </c>
      <c r="U497">
        <v>81</v>
      </c>
      <c r="V497" t="b">
        <v>1</v>
      </c>
      <c r="W497" t="b">
        <v>1</v>
      </c>
      <c r="X497">
        <v>53.7078651685393</v>
      </c>
    </row>
    <row r="498" spans="3:24" x14ac:dyDescent="0.35">
      <c r="C498" s="2" t="s">
        <v>46</v>
      </c>
      <c r="D498" s="3">
        <v>45291</v>
      </c>
      <c r="E498">
        <v>61.227103571601099</v>
      </c>
      <c r="F498">
        <v>55.732325659816098</v>
      </c>
      <c r="G498">
        <v>80.261761234107297</v>
      </c>
      <c r="H498">
        <v>64.580189838349696</v>
      </c>
      <c r="I498">
        <v>202000</v>
      </c>
      <c r="J498">
        <v>58.3333333333333</v>
      </c>
      <c r="K498">
        <v>11</v>
      </c>
      <c r="L498" t="b">
        <v>1</v>
      </c>
      <c r="M498">
        <v>36700</v>
      </c>
      <c r="N498" s="2" t="s">
        <v>100</v>
      </c>
      <c r="O498" t="b">
        <v>1</v>
      </c>
      <c r="P498">
        <v>787648</v>
      </c>
      <c r="Q498">
        <v>71.154811864450707</v>
      </c>
      <c r="R498" t="b">
        <v>0</v>
      </c>
      <c r="S498">
        <v>9.6629213483146099</v>
      </c>
      <c r="T498" s="2" t="s">
        <v>100</v>
      </c>
      <c r="U498">
        <v>78</v>
      </c>
      <c r="V498" t="b">
        <v>1</v>
      </c>
      <c r="W498" t="b">
        <v>1</v>
      </c>
      <c r="X498">
        <v>54.867256637168097</v>
      </c>
    </row>
    <row r="499" spans="3:24" x14ac:dyDescent="0.35">
      <c r="C499" s="2" t="s">
        <v>46</v>
      </c>
      <c r="D499" s="3">
        <v>44926</v>
      </c>
      <c r="E499">
        <v>61.647575965083298</v>
      </c>
      <c r="F499">
        <v>59.365835160077303</v>
      </c>
      <c r="G499">
        <v>77.953891391391295</v>
      </c>
      <c r="H499">
        <v>65.643012282103697</v>
      </c>
      <c r="I499">
        <v>196000</v>
      </c>
      <c r="J499">
        <v>63.636363636363598</v>
      </c>
      <c r="K499">
        <v>11</v>
      </c>
      <c r="L499" t="b">
        <v>1</v>
      </c>
      <c r="M499">
        <v>33800</v>
      </c>
      <c r="N499" s="2" t="s">
        <v>100</v>
      </c>
      <c r="O499" t="b">
        <v>1</v>
      </c>
      <c r="P499">
        <v>738660</v>
      </c>
      <c r="Q499">
        <v>73.521960578472303</v>
      </c>
      <c r="R499" t="b">
        <v>0</v>
      </c>
      <c r="S499">
        <v>11.342592592592499</v>
      </c>
      <c r="T499" s="2" t="s">
        <v>100</v>
      </c>
      <c r="U499">
        <v>80</v>
      </c>
      <c r="V499" t="b">
        <v>1</v>
      </c>
      <c r="W499" t="b">
        <v>1</v>
      </c>
      <c r="X499">
        <v>57.795100222717103</v>
      </c>
    </row>
    <row r="500" spans="3:24" x14ac:dyDescent="0.35">
      <c r="C500" s="2" t="s">
        <v>46</v>
      </c>
      <c r="D500" s="3">
        <v>44561</v>
      </c>
      <c r="E500" s="2" t="s">
        <v>100</v>
      </c>
      <c r="F500" s="2" t="s">
        <v>100</v>
      </c>
      <c r="G500" s="2" t="s">
        <v>100</v>
      </c>
      <c r="H500" s="2" t="s">
        <v>100</v>
      </c>
      <c r="I500" s="2" t="s">
        <v>100</v>
      </c>
      <c r="J500" s="2" t="s">
        <v>100</v>
      </c>
      <c r="K500" s="2" t="s">
        <v>100</v>
      </c>
      <c r="L500" s="2" t="s">
        <v>100</v>
      </c>
      <c r="M500" s="2" t="s">
        <v>100</v>
      </c>
      <c r="N500" s="2" t="s">
        <v>100</v>
      </c>
      <c r="O500" s="2" t="s">
        <v>100</v>
      </c>
      <c r="P500" s="2" t="s">
        <v>100</v>
      </c>
      <c r="Q500" s="2" t="s">
        <v>100</v>
      </c>
      <c r="R500" s="2" t="s">
        <v>100</v>
      </c>
      <c r="S500" s="2" t="s">
        <v>100</v>
      </c>
      <c r="T500" s="2" t="s">
        <v>100</v>
      </c>
      <c r="U500" s="2" t="s">
        <v>100</v>
      </c>
      <c r="V500" s="2" t="s">
        <v>100</v>
      </c>
      <c r="W500" s="2" t="s">
        <v>100</v>
      </c>
      <c r="X500" s="2" t="s">
        <v>100</v>
      </c>
    </row>
    <row r="501" spans="3:24" x14ac:dyDescent="0.35">
      <c r="C501" s="2" t="s">
        <v>46</v>
      </c>
      <c r="D501" s="3">
        <v>44196</v>
      </c>
      <c r="E501" s="2" t="s">
        <v>100</v>
      </c>
      <c r="F501" s="2" t="s">
        <v>100</v>
      </c>
      <c r="G501" s="2" t="s">
        <v>100</v>
      </c>
      <c r="H501" s="2" t="s">
        <v>100</v>
      </c>
      <c r="I501" s="2" t="s">
        <v>100</v>
      </c>
      <c r="J501" s="2" t="s">
        <v>100</v>
      </c>
      <c r="K501" s="2" t="s">
        <v>100</v>
      </c>
      <c r="L501" s="2" t="s">
        <v>100</v>
      </c>
      <c r="M501" s="2" t="s">
        <v>100</v>
      </c>
      <c r="N501" s="2" t="s">
        <v>100</v>
      </c>
      <c r="O501" s="2" t="s">
        <v>100</v>
      </c>
      <c r="P501" s="2" t="s">
        <v>100</v>
      </c>
      <c r="Q501" s="2" t="s">
        <v>100</v>
      </c>
      <c r="R501" s="2" t="s">
        <v>100</v>
      </c>
      <c r="S501" s="2" t="s">
        <v>100</v>
      </c>
      <c r="T501" s="2" t="s">
        <v>100</v>
      </c>
      <c r="U501" s="2" t="s">
        <v>100</v>
      </c>
      <c r="V501" s="2" t="s">
        <v>100</v>
      </c>
      <c r="W501" s="2" t="s">
        <v>100</v>
      </c>
      <c r="X501" s="2" t="s">
        <v>100</v>
      </c>
    </row>
    <row r="502" spans="3:24" x14ac:dyDescent="0.35">
      <c r="C502" s="2" t="s">
        <v>46</v>
      </c>
      <c r="D502" s="3">
        <v>43830</v>
      </c>
      <c r="E502" s="2" t="s">
        <v>100</v>
      </c>
      <c r="F502" s="2" t="s">
        <v>100</v>
      </c>
      <c r="G502" s="2" t="s">
        <v>100</v>
      </c>
      <c r="H502" s="2" t="s">
        <v>100</v>
      </c>
      <c r="I502" s="2" t="s">
        <v>100</v>
      </c>
      <c r="J502" s="2" t="s">
        <v>100</v>
      </c>
      <c r="K502" s="2" t="s">
        <v>100</v>
      </c>
      <c r="L502" s="2" t="s">
        <v>100</v>
      </c>
      <c r="M502" s="2" t="s">
        <v>100</v>
      </c>
      <c r="N502" s="2" t="s">
        <v>100</v>
      </c>
      <c r="O502" s="2" t="s">
        <v>100</v>
      </c>
      <c r="P502" s="2" t="s">
        <v>100</v>
      </c>
      <c r="Q502" s="2" t="s">
        <v>100</v>
      </c>
      <c r="R502" s="2" t="s">
        <v>100</v>
      </c>
      <c r="S502" s="2" t="s">
        <v>100</v>
      </c>
      <c r="T502" s="2" t="s">
        <v>100</v>
      </c>
      <c r="U502" s="2" t="s">
        <v>100</v>
      </c>
      <c r="V502" s="2" t="s">
        <v>100</v>
      </c>
      <c r="W502" s="2" t="s">
        <v>100</v>
      </c>
      <c r="X502" s="2" t="s">
        <v>100</v>
      </c>
    </row>
    <row r="503" spans="3:24" x14ac:dyDescent="0.35">
      <c r="C503" s="2" t="s">
        <v>46</v>
      </c>
      <c r="D503" s="3">
        <v>43465</v>
      </c>
      <c r="E503" s="2" t="s">
        <v>100</v>
      </c>
      <c r="F503" s="2" t="s">
        <v>100</v>
      </c>
      <c r="G503" s="2" t="s">
        <v>100</v>
      </c>
      <c r="H503" s="2" t="s">
        <v>100</v>
      </c>
      <c r="I503" s="2" t="s">
        <v>100</v>
      </c>
      <c r="J503" s="2" t="s">
        <v>100</v>
      </c>
      <c r="K503" s="2" t="s">
        <v>100</v>
      </c>
      <c r="L503" s="2" t="s">
        <v>100</v>
      </c>
      <c r="M503" s="2" t="s">
        <v>100</v>
      </c>
      <c r="N503" s="2" t="s">
        <v>100</v>
      </c>
      <c r="O503" s="2" t="s">
        <v>100</v>
      </c>
      <c r="P503" s="2" t="s">
        <v>100</v>
      </c>
      <c r="Q503" s="2" t="s">
        <v>100</v>
      </c>
      <c r="R503" s="2" t="s">
        <v>100</v>
      </c>
      <c r="S503" s="2" t="s">
        <v>100</v>
      </c>
      <c r="T503" s="2" t="s">
        <v>100</v>
      </c>
      <c r="U503" s="2" t="s">
        <v>100</v>
      </c>
      <c r="V503" s="2" t="s">
        <v>100</v>
      </c>
      <c r="W503" s="2" t="s">
        <v>100</v>
      </c>
      <c r="X503" s="2" t="s">
        <v>100</v>
      </c>
    </row>
    <row r="504" spans="3:24" x14ac:dyDescent="0.35">
      <c r="C504" s="2" t="s">
        <v>46</v>
      </c>
      <c r="D504" s="3">
        <v>43100</v>
      </c>
      <c r="E504" s="2" t="s">
        <v>100</v>
      </c>
      <c r="F504" s="2" t="s">
        <v>100</v>
      </c>
      <c r="G504" s="2" t="s">
        <v>100</v>
      </c>
      <c r="H504" s="2" t="s">
        <v>100</v>
      </c>
      <c r="I504" s="2" t="s">
        <v>100</v>
      </c>
      <c r="J504" s="2" t="s">
        <v>100</v>
      </c>
      <c r="K504" s="2" t="s">
        <v>100</v>
      </c>
      <c r="L504" s="2" t="s">
        <v>100</v>
      </c>
      <c r="M504" s="2" t="s">
        <v>100</v>
      </c>
      <c r="N504" s="2" t="s">
        <v>100</v>
      </c>
      <c r="O504" s="2" t="s">
        <v>100</v>
      </c>
      <c r="P504" s="2" t="s">
        <v>100</v>
      </c>
      <c r="Q504" s="2" t="s">
        <v>100</v>
      </c>
      <c r="R504" s="2" t="s">
        <v>100</v>
      </c>
      <c r="S504" s="2" t="s">
        <v>100</v>
      </c>
      <c r="T504" s="2" t="s">
        <v>100</v>
      </c>
      <c r="U504" s="2" t="s">
        <v>100</v>
      </c>
      <c r="V504" s="2" t="s">
        <v>100</v>
      </c>
      <c r="W504" s="2" t="s">
        <v>100</v>
      </c>
      <c r="X504" s="2" t="s">
        <v>100</v>
      </c>
    </row>
    <row r="505" spans="3:24" x14ac:dyDescent="0.35">
      <c r="C505" s="2" t="s">
        <v>46</v>
      </c>
      <c r="D505" s="3">
        <v>42735</v>
      </c>
      <c r="E505" s="2" t="s">
        <v>100</v>
      </c>
      <c r="F505" s="2" t="s">
        <v>100</v>
      </c>
      <c r="G505" s="2" t="s">
        <v>100</v>
      </c>
      <c r="H505" s="2" t="s">
        <v>100</v>
      </c>
      <c r="I505" s="2" t="s">
        <v>100</v>
      </c>
      <c r="J505" s="2" t="s">
        <v>100</v>
      </c>
      <c r="K505" s="2" t="s">
        <v>100</v>
      </c>
      <c r="L505" s="2" t="s">
        <v>100</v>
      </c>
      <c r="M505" s="2" t="s">
        <v>100</v>
      </c>
      <c r="N505" s="2" t="s">
        <v>100</v>
      </c>
      <c r="O505" s="2" t="s">
        <v>100</v>
      </c>
      <c r="P505" s="2" t="s">
        <v>100</v>
      </c>
      <c r="Q505" s="2" t="s">
        <v>100</v>
      </c>
      <c r="R505" s="2" t="s">
        <v>100</v>
      </c>
      <c r="S505" s="2" t="s">
        <v>100</v>
      </c>
      <c r="T505" s="2" t="s">
        <v>100</v>
      </c>
      <c r="U505" s="2" t="s">
        <v>100</v>
      </c>
      <c r="V505" s="2" t="s">
        <v>100</v>
      </c>
      <c r="W505" s="2" t="s">
        <v>100</v>
      </c>
      <c r="X505" s="2" t="s">
        <v>100</v>
      </c>
    </row>
    <row r="506" spans="3:24" x14ac:dyDescent="0.35">
      <c r="C506" s="2" t="s">
        <v>46</v>
      </c>
      <c r="D506" s="3">
        <v>42369</v>
      </c>
      <c r="E506" s="2" t="s">
        <v>100</v>
      </c>
      <c r="F506" s="2" t="s">
        <v>100</v>
      </c>
      <c r="G506" s="2" t="s">
        <v>100</v>
      </c>
      <c r="H506" s="2" t="s">
        <v>100</v>
      </c>
      <c r="I506" s="2" t="s">
        <v>100</v>
      </c>
      <c r="J506" s="2" t="s">
        <v>100</v>
      </c>
      <c r="K506" s="2" t="s">
        <v>100</v>
      </c>
      <c r="L506" s="2" t="s">
        <v>100</v>
      </c>
      <c r="M506" s="2" t="s">
        <v>100</v>
      </c>
      <c r="N506" s="2" t="s">
        <v>100</v>
      </c>
      <c r="O506" s="2" t="s">
        <v>100</v>
      </c>
      <c r="P506" s="2" t="s">
        <v>100</v>
      </c>
      <c r="Q506" s="2" t="s">
        <v>100</v>
      </c>
      <c r="R506" s="2" t="s">
        <v>100</v>
      </c>
      <c r="S506" s="2" t="s">
        <v>100</v>
      </c>
      <c r="T506" s="2" t="s">
        <v>100</v>
      </c>
      <c r="U506" s="2" t="s">
        <v>100</v>
      </c>
      <c r="V506" s="2" t="s">
        <v>100</v>
      </c>
      <c r="W506" s="2" t="s">
        <v>100</v>
      </c>
      <c r="X506" s="2" t="s">
        <v>100</v>
      </c>
    </row>
    <row r="507" spans="3:24" x14ac:dyDescent="0.35">
      <c r="C507" s="2" t="s">
        <v>47</v>
      </c>
      <c r="D507" s="3">
        <v>45747</v>
      </c>
      <c r="E507">
        <v>59.057971014492701</v>
      </c>
      <c r="F507">
        <v>67.577647046807797</v>
      </c>
      <c r="G507">
        <v>72.735821759259196</v>
      </c>
      <c r="H507">
        <v>65.173574099000902</v>
      </c>
      <c r="I507">
        <v>7422000</v>
      </c>
      <c r="J507">
        <v>81.818181818181799</v>
      </c>
      <c r="K507">
        <v>11</v>
      </c>
      <c r="L507" t="b">
        <v>1</v>
      </c>
      <c r="M507">
        <v>455319</v>
      </c>
      <c r="N507" s="2" t="s">
        <v>100</v>
      </c>
      <c r="O507" t="b">
        <v>1</v>
      </c>
      <c r="P507" s="2" t="s">
        <v>100</v>
      </c>
      <c r="Q507">
        <v>69.909916611739803</v>
      </c>
      <c r="R507" t="b">
        <v>0</v>
      </c>
      <c r="S507">
        <v>47.7777777777777</v>
      </c>
      <c r="T507">
        <v>1</v>
      </c>
      <c r="U507">
        <v>80</v>
      </c>
      <c r="V507" t="b">
        <v>1</v>
      </c>
      <c r="W507" t="b">
        <v>1</v>
      </c>
      <c r="X507">
        <v>51.086956521739097</v>
      </c>
    </row>
    <row r="508" spans="3:24" x14ac:dyDescent="0.35">
      <c r="C508" s="2" t="s">
        <v>47</v>
      </c>
      <c r="D508" s="3">
        <v>45382</v>
      </c>
      <c r="E508">
        <v>59.876543209876502</v>
      </c>
      <c r="F508">
        <v>73.692085812150694</v>
      </c>
      <c r="G508">
        <v>91.062565833807597</v>
      </c>
      <c r="H508">
        <v>71.921023608425401</v>
      </c>
      <c r="I508">
        <v>6852000</v>
      </c>
      <c r="J508">
        <v>84.615384615384599</v>
      </c>
      <c r="K508">
        <v>11</v>
      </c>
      <c r="L508" t="b">
        <v>1</v>
      </c>
      <c r="M508">
        <v>331612</v>
      </c>
      <c r="N508" s="2" t="s">
        <v>100</v>
      </c>
      <c r="O508" t="b">
        <v>1</v>
      </c>
      <c r="P508">
        <v>1607512</v>
      </c>
      <c r="Q508">
        <v>70.2374273937494</v>
      </c>
      <c r="R508" t="b">
        <v>0</v>
      </c>
      <c r="S508">
        <v>47.674418604651102</v>
      </c>
      <c r="T508">
        <v>0.8</v>
      </c>
      <c r="U508">
        <v>81</v>
      </c>
      <c r="V508" t="b">
        <v>1</v>
      </c>
      <c r="W508" t="b">
        <v>1</v>
      </c>
      <c r="X508">
        <v>52.2222222222222</v>
      </c>
    </row>
    <row r="509" spans="3:24" x14ac:dyDescent="0.35">
      <c r="C509" s="2" t="s">
        <v>47</v>
      </c>
      <c r="D509" s="3">
        <v>45016</v>
      </c>
      <c r="E509">
        <v>56.102693602693599</v>
      </c>
      <c r="F509">
        <v>75.094750683236299</v>
      </c>
      <c r="G509">
        <v>71.920723740527393</v>
      </c>
      <c r="H509">
        <v>66.269617686145097</v>
      </c>
      <c r="I509">
        <v>7284000</v>
      </c>
      <c r="J509">
        <v>85.714285714285694</v>
      </c>
      <c r="K509">
        <v>12</v>
      </c>
      <c r="L509" t="b">
        <v>1</v>
      </c>
      <c r="M509">
        <v>855546</v>
      </c>
      <c r="N509" s="2" t="s">
        <v>100</v>
      </c>
      <c r="O509" t="b">
        <v>1</v>
      </c>
      <c r="P509">
        <v>1092224</v>
      </c>
      <c r="Q509">
        <v>71.154811864450707</v>
      </c>
      <c r="R509" t="b">
        <v>0</v>
      </c>
      <c r="S509">
        <v>50</v>
      </c>
      <c r="T509">
        <v>1.1000000000000001</v>
      </c>
      <c r="U509">
        <v>81</v>
      </c>
      <c r="V509" t="b">
        <v>1</v>
      </c>
      <c r="W509" t="b">
        <v>1</v>
      </c>
      <c r="X509">
        <v>53.409090909090899</v>
      </c>
    </row>
    <row r="510" spans="3:24" x14ac:dyDescent="0.35">
      <c r="C510" s="2" t="s">
        <v>47</v>
      </c>
      <c r="D510" s="3">
        <v>44651</v>
      </c>
      <c r="E510">
        <v>56.6465690496698</v>
      </c>
      <c r="F510">
        <v>71.6598690903853</v>
      </c>
      <c r="G510">
        <v>74.700857107107097</v>
      </c>
      <c r="H510">
        <v>65.994604825054594</v>
      </c>
      <c r="I510">
        <v>7831000</v>
      </c>
      <c r="J510">
        <v>82.352941176470495</v>
      </c>
      <c r="K510">
        <v>13</v>
      </c>
      <c r="L510" t="b">
        <v>1</v>
      </c>
      <c r="M510">
        <v>340186</v>
      </c>
      <c r="N510" s="2" t="s">
        <v>100</v>
      </c>
      <c r="O510" t="b">
        <v>1</v>
      </c>
      <c r="P510">
        <v>1033646.4</v>
      </c>
      <c r="Q510">
        <v>73.521960578472303</v>
      </c>
      <c r="R510" t="b">
        <v>0</v>
      </c>
      <c r="S510">
        <v>46.428571428571402</v>
      </c>
      <c r="T510">
        <v>1.3</v>
      </c>
      <c r="U510">
        <v>81</v>
      </c>
      <c r="V510" t="b">
        <v>1</v>
      </c>
      <c r="W510" t="b">
        <v>1</v>
      </c>
      <c r="X510">
        <v>53.3333333333333</v>
      </c>
    </row>
    <row r="511" spans="3:24" x14ac:dyDescent="0.35">
      <c r="C511" s="2" t="s">
        <v>47</v>
      </c>
      <c r="D511" s="3">
        <v>44286</v>
      </c>
      <c r="E511">
        <v>47.112046715705198</v>
      </c>
      <c r="F511">
        <v>82.735700676710394</v>
      </c>
      <c r="G511">
        <v>81.163340693133804</v>
      </c>
      <c r="H511">
        <v>67.217211594808106</v>
      </c>
      <c r="I511">
        <v>6943000</v>
      </c>
      <c r="J511">
        <v>69.230769230769198</v>
      </c>
      <c r="K511">
        <v>13</v>
      </c>
      <c r="L511" t="b">
        <v>1</v>
      </c>
      <c r="M511">
        <v>171984</v>
      </c>
      <c r="N511" s="2" t="s">
        <v>100</v>
      </c>
      <c r="O511" t="b">
        <v>1</v>
      </c>
      <c r="P511">
        <v>776336</v>
      </c>
      <c r="Q511">
        <v>75.621147307915805</v>
      </c>
      <c r="R511" t="b">
        <v>0</v>
      </c>
      <c r="S511">
        <v>39.743589743589702</v>
      </c>
      <c r="T511">
        <v>1</v>
      </c>
      <c r="U511">
        <v>81</v>
      </c>
      <c r="V511" t="b">
        <v>1</v>
      </c>
      <c r="W511" t="b">
        <v>1</v>
      </c>
      <c r="X511">
        <v>53.658536585365802</v>
      </c>
    </row>
    <row r="512" spans="3:24" x14ac:dyDescent="0.35">
      <c r="C512" s="2" t="s">
        <v>47</v>
      </c>
      <c r="D512" s="3">
        <v>43921</v>
      </c>
      <c r="E512">
        <v>43.614328614328599</v>
      </c>
      <c r="F512">
        <v>72.000600669405799</v>
      </c>
      <c r="G512">
        <v>83.837606837606799</v>
      </c>
      <c r="H512">
        <v>62.726990386506998</v>
      </c>
      <c r="I512">
        <v>6484000</v>
      </c>
      <c r="J512">
        <v>71.428571428571402</v>
      </c>
      <c r="K512">
        <v>12</v>
      </c>
      <c r="L512" t="b">
        <v>0</v>
      </c>
      <c r="M512" s="2" t="s">
        <v>100</v>
      </c>
      <c r="N512" s="2" t="s">
        <v>100</v>
      </c>
      <c r="O512" t="b">
        <v>1</v>
      </c>
      <c r="P512">
        <v>1107312</v>
      </c>
      <c r="Q512">
        <v>78.200069035947806</v>
      </c>
      <c r="R512" t="b">
        <v>0</v>
      </c>
      <c r="S512">
        <v>42.857142857142797</v>
      </c>
      <c r="T512">
        <v>1.2</v>
      </c>
      <c r="U512">
        <v>77</v>
      </c>
      <c r="V512" t="b">
        <v>1</v>
      </c>
      <c r="W512" t="b">
        <v>1</v>
      </c>
      <c r="X512">
        <v>54.054054054053999</v>
      </c>
    </row>
    <row r="513" spans="3:24" x14ac:dyDescent="0.35">
      <c r="C513" s="2" t="s">
        <v>47</v>
      </c>
      <c r="D513" s="3">
        <v>43555</v>
      </c>
      <c r="E513">
        <v>56.7644032921811</v>
      </c>
      <c r="F513">
        <v>72.020187081746599</v>
      </c>
      <c r="G513">
        <v>84.330619550782302</v>
      </c>
      <c r="H513">
        <v>68.441452037923895</v>
      </c>
      <c r="I513">
        <v>7012642</v>
      </c>
      <c r="J513">
        <v>64.285714285714207</v>
      </c>
      <c r="K513">
        <v>12</v>
      </c>
      <c r="L513" t="b">
        <v>0</v>
      </c>
      <c r="M513">
        <v>262000</v>
      </c>
      <c r="N513" s="2" t="s">
        <v>100</v>
      </c>
      <c r="O513" t="b">
        <v>1</v>
      </c>
      <c r="P513">
        <v>957222.40000000002</v>
      </c>
      <c r="Q513">
        <v>80.269779293880703</v>
      </c>
      <c r="R513" t="b">
        <v>0</v>
      </c>
      <c r="S513">
        <v>45.588235294117602</v>
      </c>
      <c r="T513">
        <v>1</v>
      </c>
      <c r="U513">
        <v>73</v>
      </c>
      <c r="V513" t="b">
        <v>1</v>
      </c>
      <c r="W513" t="b">
        <v>1</v>
      </c>
      <c r="X513">
        <v>58.108108108108098</v>
      </c>
    </row>
    <row r="514" spans="3:24" x14ac:dyDescent="0.35">
      <c r="C514" s="2" t="s">
        <v>47</v>
      </c>
      <c r="D514" s="3">
        <v>43190</v>
      </c>
      <c r="E514">
        <v>53.066638066638099</v>
      </c>
      <c r="F514">
        <v>73.852105734878194</v>
      </c>
      <c r="G514">
        <v>75.2583004125065</v>
      </c>
      <c r="H514">
        <v>65.346362319475602</v>
      </c>
      <c r="I514">
        <v>6847469</v>
      </c>
      <c r="J514">
        <v>66.6666666666666</v>
      </c>
      <c r="K514">
        <v>11</v>
      </c>
      <c r="L514" t="b">
        <v>0</v>
      </c>
      <c r="M514">
        <v>158000</v>
      </c>
      <c r="N514" s="2" t="s">
        <v>100</v>
      </c>
      <c r="O514" t="b">
        <v>1</v>
      </c>
      <c r="P514">
        <v>1200000</v>
      </c>
      <c r="Q514">
        <v>82.220517481419506</v>
      </c>
      <c r="R514" s="2" t="s">
        <v>100</v>
      </c>
      <c r="S514">
        <v>45.588235294117602</v>
      </c>
      <c r="T514">
        <v>1</v>
      </c>
      <c r="U514">
        <v>77</v>
      </c>
      <c r="V514" t="b">
        <v>1</v>
      </c>
      <c r="W514" t="b">
        <v>1</v>
      </c>
      <c r="X514">
        <v>60.5263157894736</v>
      </c>
    </row>
    <row r="515" spans="3:24" x14ac:dyDescent="0.35">
      <c r="C515" s="2" t="s">
        <v>47</v>
      </c>
      <c r="D515" s="3">
        <v>42825</v>
      </c>
      <c r="E515">
        <v>50.963463463463398</v>
      </c>
      <c r="F515">
        <v>74.257623330317699</v>
      </c>
      <c r="G515">
        <v>65.954970209208497</v>
      </c>
      <c r="H515">
        <v>62.391763279582101</v>
      </c>
      <c r="I515">
        <v>9200000</v>
      </c>
      <c r="J515">
        <v>61.538461538461497</v>
      </c>
      <c r="K515">
        <v>12</v>
      </c>
      <c r="L515" t="b">
        <v>0</v>
      </c>
      <c r="M515">
        <v>250000</v>
      </c>
      <c r="N515" s="2" t="s">
        <v>100</v>
      </c>
      <c r="O515" t="b">
        <v>1</v>
      </c>
      <c r="P515">
        <v>1200000</v>
      </c>
      <c r="Q515">
        <v>85.960763534790999</v>
      </c>
      <c r="R515" s="2" t="s">
        <v>100</v>
      </c>
      <c r="S515">
        <v>75</v>
      </c>
      <c r="T515">
        <v>0.8</v>
      </c>
      <c r="U515">
        <v>77</v>
      </c>
      <c r="V515" t="b">
        <v>1</v>
      </c>
      <c r="W515" t="b">
        <v>1</v>
      </c>
      <c r="X515">
        <v>61.842105263157897</v>
      </c>
    </row>
    <row r="516" spans="3:24" x14ac:dyDescent="0.35">
      <c r="C516" s="2" t="s">
        <v>47</v>
      </c>
      <c r="D516" s="3">
        <v>42460</v>
      </c>
      <c r="E516">
        <v>64.415252691114702</v>
      </c>
      <c r="F516">
        <v>80.636018077878504</v>
      </c>
      <c r="G516">
        <v>67.368907655792896</v>
      </c>
      <c r="H516">
        <v>70.605036632620099</v>
      </c>
      <c r="I516">
        <v>7300000</v>
      </c>
      <c r="J516">
        <v>63.636363636363598</v>
      </c>
      <c r="K516">
        <v>11</v>
      </c>
      <c r="L516" t="b">
        <v>0</v>
      </c>
      <c r="M516">
        <v>600000</v>
      </c>
      <c r="N516" s="2" t="s">
        <v>100</v>
      </c>
      <c r="O516" t="b">
        <v>1</v>
      </c>
      <c r="P516">
        <v>1160000</v>
      </c>
      <c r="Q516">
        <v>86.761782529177495</v>
      </c>
      <c r="R516" s="2" t="s">
        <v>100</v>
      </c>
      <c r="S516">
        <v>94.285714285714207</v>
      </c>
      <c r="T516" s="2" t="s">
        <v>100</v>
      </c>
      <c r="U516">
        <v>73</v>
      </c>
      <c r="V516" t="b">
        <v>1</v>
      </c>
      <c r="W516" t="b">
        <v>1</v>
      </c>
      <c r="X516">
        <v>63.8888888888888</v>
      </c>
    </row>
    <row r="517" spans="3:24" x14ac:dyDescent="0.35">
      <c r="C517" s="2" t="s">
        <v>48</v>
      </c>
      <c r="D517" s="3">
        <v>45869</v>
      </c>
      <c r="E517">
        <v>54.575994318181699</v>
      </c>
      <c r="F517">
        <v>46.126706337918698</v>
      </c>
      <c r="G517">
        <v>67.538453338206594</v>
      </c>
      <c r="H517">
        <v>54.382780268503801</v>
      </c>
      <c r="I517">
        <v>64154</v>
      </c>
      <c r="J517">
        <v>75</v>
      </c>
      <c r="K517">
        <v>11</v>
      </c>
      <c r="L517" t="b">
        <v>1</v>
      </c>
      <c r="M517">
        <v>14319</v>
      </c>
      <c r="N517" s="2" t="s">
        <v>100</v>
      </c>
      <c r="O517" t="b">
        <v>1</v>
      </c>
      <c r="P517" s="2" t="s">
        <v>100</v>
      </c>
      <c r="Q517">
        <v>69.909916611739803</v>
      </c>
      <c r="R517" t="b">
        <v>0</v>
      </c>
      <c r="S517">
        <v>62.307692307692299</v>
      </c>
      <c r="T517" s="2" t="s">
        <v>100</v>
      </c>
      <c r="U517">
        <v>72</v>
      </c>
      <c r="V517" t="b">
        <v>1</v>
      </c>
      <c r="W517" t="b">
        <v>1</v>
      </c>
      <c r="X517">
        <v>53.787878787878697</v>
      </c>
    </row>
    <row r="518" spans="3:24" x14ac:dyDescent="0.35">
      <c r="C518" s="2" t="s">
        <v>48</v>
      </c>
      <c r="D518" s="3">
        <v>45504</v>
      </c>
      <c r="E518">
        <v>52.214382632293002</v>
      </c>
      <c r="F518">
        <v>46.3355794663645</v>
      </c>
      <c r="G518">
        <v>83.054942197099095</v>
      </c>
      <c r="H518">
        <v>57.409513424759801</v>
      </c>
      <c r="I518">
        <v>65908</v>
      </c>
      <c r="J518">
        <v>76.923076923076906</v>
      </c>
      <c r="K518">
        <v>10</v>
      </c>
      <c r="L518" t="b">
        <v>1</v>
      </c>
      <c r="M518">
        <v>13792</v>
      </c>
      <c r="N518" s="2" t="s">
        <v>100</v>
      </c>
      <c r="O518" t="b">
        <v>1</v>
      </c>
      <c r="P518" s="2" t="s">
        <v>100</v>
      </c>
      <c r="Q518">
        <v>70.2374273937494</v>
      </c>
      <c r="R518" t="b">
        <v>0</v>
      </c>
      <c r="S518">
        <v>61.9402985074626</v>
      </c>
      <c r="T518">
        <v>1.05</v>
      </c>
      <c r="U518">
        <v>75</v>
      </c>
      <c r="V518" t="b">
        <v>1</v>
      </c>
      <c r="W518" t="b">
        <v>1</v>
      </c>
      <c r="X518">
        <v>54.411764705882298</v>
      </c>
    </row>
    <row r="519" spans="3:24" x14ac:dyDescent="0.35">
      <c r="C519" s="2" t="s">
        <v>48</v>
      </c>
      <c r="D519" s="3">
        <v>45138</v>
      </c>
      <c r="E519">
        <v>49.510378475129102</v>
      </c>
      <c r="F519">
        <v>48.800414400809998</v>
      </c>
      <c r="G519">
        <v>87.308680020544401</v>
      </c>
      <c r="H519">
        <v>58.459733704978802</v>
      </c>
      <c r="I519">
        <v>66805</v>
      </c>
      <c r="J519">
        <v>81.818181818181799</v>
      </c>
      <c r="K519">
        <v>10</v>
      </c>
      <c r="L519" t="b">
        <v>1</v>
      </c>
      <c r="M519">
        <v>13122</v>
      </c>
      <c r="N519" s="2" t="s">
        <v>100</v>
      </c>
      <c r="O519" t="b">
        <v>1</v>
      </c>
      <c r="P519" s="2" t="s">
        <v>100</v>
      </c>
      <c r="Q519">
        <v>71.154811864450707</v>
      </c>
      <c r="R519" t="b">
        <v>0</v>
      </c>
      <c r="S519">
        <v>63.970588235294102</v>
      </c>
      <c r="T519">
        <v>0.7</v>
      </c>
      <c r="U519">
        <v>73</v>
      </c>
      <c r="V519" t="b">
        <v>1</v>
      </c>
      <c r="W519" t="b">
        <v>1</v>
      </c>
      <c r="X519">
        <v>53.623188405797102</v>
      </c>
    </row>
    <row r="520" spans="3:24" x14ac:dyDescent="0.35">
      <c r="C520" s="2" t="s">
        <v>48</v>
      </c>
      <c r="D520" s="3">
        <v>44773</v>
      </c>
      <c r="E520">
        <v>34.834170190274797</v>
      </c>
      <c r="F520">
        <v>53.681381022778297</v>
      </c>
      <c r="G520">
        <v>88.953390890890901</v>
      </c>
      <c r="H520">
        <v>55.544743460335098</v>
      </c>
      <c r="I520">
        <v>51784</v>
      </c>
      <c r="J520">
        <v>72.727272727272705</v>
      </c>
      <c r="K520">
        <v>10</v>
      </c>
      <c r="L520" t="b">
        <v>1</v>
      </c>
      <c r="M520" s="2" t="s">
        <v>100</v>
      </c>
      <c r="N520" s="2" t="s">
        <v>100</v>
      </c>
      <c r="O520" t="b">
        <v>1</v>
      </c>
      <c r="P520" s="2" t="s">
        <v>100</v>
      </c>
      <c r="Q520">
        <v>73.521960578472303</v>
      </c>
      <c r="R520" t="b">
        <v>0</v>
      </c>
      <c r="S520">
        <v>64.393939393939306</v>
      </c>
      <c r="T520">
        <v>1.2</v>
      </c>
      <c r="U520">
        <v>92</v>
      </c>
      <c r="V520" t="b">
        <v>1</v>
      </c>
      <c r="W520" t="b">
        <v>1</v>
      </c>
      <c r="X520">
        <v>55.147058823529399</v>
      </c>
    </row>
    <row r="521" spans="3:24" x14ac:dyDescent="0.35">
      <c r="C521" s="2" t="s">
        <v>48</v>
      </c>
      <c r="D521" s="3">
        <v>44408</v>
      </c>
      <c r="E521">
        <v>39.324852170568597</v>
      </c>
      <c r="F521">
        <v>64.943159947650699</v>
      </c>
      <c r="G521">
        <v>80.720674476493102</v>
      </c>
      <c r="H521">
        <v>59.6198483629043</v>
      </c>
      <c r="I521">
        <v>66412</v>
      </c>
      <c r="J521">
        <v>76.923076923076906</v>
      </c>
      <c r="K521">
        <v>10</v>
      </c>
      <c r="L521" t="b">
        <v>1</v>
      </c>
      <c r="M521" s="2" t="s">
        <v>100</v>
      </c>
      <c r="N521" s="2" t="s">
        <v>100</v>
      </c>
      <c r="O521" t="b">
        <v>1</v>
      </c>
      <c r="P521" s="2" t="s">
        <v>100</v>
      </c>
      <c r="Q521">
        <v>75.621147307915805</v>
      </c>
      <c r="R521" s="2" t="s">
        <v>100</v>
      </c>
      <c r="S521">
        <v>60.8333333333333</v>
      </c>
      <c r="T521">
        <v>1</v>
      </c>
      <c r="U521">
        <v>73</v>
      </c>
      <c r="V521" t="b">
        <v>1</v>
      </c>
      <c r="W521" t="b">
        <v>1</v>
      </c>
      <c r="X521">
        <v>56.349206349206298</v>
      </c>
    </row>
    <row r="522" spans="3:24" x14ac:dyDescent="0.35">
      <c r="C522" s="2" t="s">
        <v>48</v>
      </c>
      <c r="D522" s="3">
        <v>44043</v>
      </c>
      <c r="E522">
        <v>40.054771557773201</v>
      </c>
      <c r="F522">
        <v>74.113107773063405</v>
      </c>
      <c r="G522">
        <v>89.281644281644205</v>
      </c>
      <c r="H522">
        <v>65.617769660048396</v>
      </c>
      <c r="I522">
        <v>71628</v>
      </c>
      <c r="J522">
        <v>83.3333333333333</v>
      </c>
      <c r="K522">
        <v>12</v>
      </c>
      <c r="L522" t="b">
        <v>1</v>
      </c>
      <c r="M522" s="2" t="s">
        <v>100</v>
      </c>
      <c r="N522" s="2" t="s">
        <v>100</v>
      </c>
      <c r="O522" t="b">
        <v>1</v>
      </c>
      <c r="P522" s="2" t="s">
        <v>100</v>
      </c>
      <c r="Q522">
        <v>78.200069035947806</v>
      </c>
      <c r="R522" s="2" t="s">
        <v>100</v>
      </c>
      <c r="S522">
        <v>62.5</v>
      </c>
      <c r="T522">
        <v>0.7</v>
      </c>
      <c r="U522">
        <v>73</v>
      </c>
      <c r="V522" t="b">
        <v>1</v>
      </c>
      <c r="W522" t="b">
        <v>1</v>
      </c>
      <c r="X522">
        <v>58.928571428571402</v>
      </c>
    </row>
    <row r="523" spans="3:24" x14ac:dyDescent="0.35">
      <c r="C523" s="2" t="s">
        <v>48</v>
      </c>
      <c r="D523" s="3">
        <v>43677</v>
      </c>
      <c r="E523">
        <v>36.550938557241103</v>
      </c>
      <c r="F523">
        <v>62.469808348647902</v>
      </c>
      <c r="G523">
        <v>79.771349385068405</v>
      </c>
      <c r="H523">
        <v>57.411050901733702</v>
      </c>
      <c r="I523">
        <v>66469</v>
      </c>
      <c r="J523">
        <v>81.818181818181799</v>
      </c>
      <c r="K523">
        <v>10</v>
      </c>
      <c r="L523" t="b">
        <v>1</v>
      </c>
      <c r="M523" s="2" t="s">
        <v>100</v>
      </c>
      <c r="N523" s="2" t="s">
        <v>100</v>
      </c>
      <c r="O523" t="b">
        <v>1</v>
      </c>
      <c r="P523" s="2" t="s">
        <v>100</v>
      </c>
      <c r="Q523">
        <v>80.269779293880703</v>
      </c>
      <c r="R523" s="2" t="s">
        <v>100</v>
      </c>
      <c r="S523">
        <v>28.571428571428498</v>
      </c>
      <c r="T523">
        <v>0.95</v>
      </c>
      <c r="U523">
        <v>73</v>
      </c>
      <c r="V523" t="b">
        <v>1</v>
      </c>
      <c r="W523" t="b">
        <v>1</v>
      </c>
      <c r="X523">
        <v>62.5</v>
      </c>
    </row>
    <row r="524" spans="3:24" x14ac:dyDescent="0.35">
      <c r="C524" s="2" t="s">
        <v>48</v>
      </c>
      <c r="D524" s="3">
        <v>43312</v>
      </c>
      <c r="E524">
        <v>35.686928521188598</v>
      </c>
      <c r="F524">
        <v>64.877573741255702</v>
      </c>
      <c r="G524">
        <v>75.551798596642996</v>
      </c>
      <c r="H524">
        <v>57.028225214623397</v>
      </c>
      <c r="I524">
        <v>70159</v>
      </c>
      <c r="J524">
        <v>81.818181818181799</v>
      </c>
      <c r="K524">
        <v>10</v>
      </c>
      <c r="L524" t="b">
        <v>1</v>
      </c>
      <c r="M524" s="2" t="s">
        <v>100</v>
      </c>
      <c r="N524" s="2" t="s">
        <v>100</v>
      </c>
      <c r="O524" t="b">
        <v>1</v>
      </c>
      <c r="P524" s="2" t="s">
        <v>100</v>
      </c>
      <c r="Q524">
        <v>82.220517481419506</v>
      </c>
      <c r="R524" s="2" t="s">
        <v>100</v>
      </c>
      <c r="S524">
        <v>31.818181818181799</v>
      </c>
      <c r="T524">
        <v>0.9</v>
      </c>
      <c r="U524">
        <v>73</v>
      </c>
      <c r="V524" t="b">
        <v>1</v>
      </c>
      <c r="W524" t="b">
        <v>1</v>
      </c>
      <c r="X524">
        <v>67.346938775510196</v>
      </c>
    </row>
    <row r="525" spans="3:24" x14ac:dyDescent="0.35">
      <c r="C525" s="2" t="s">
        <v>48</v>
      </c>
      <c r="D525" s="3">
        <v>42947</v>
      </c>
      <c r="E525">
        <v>43.3603675136116</v>
      </c>
      <c r="F525">
        <v>77.007025913497898</v>
      </c>
      <c r="G525">
        <v>84.908336934677493</v>
      </c>
      <c r="H525">
        <v>66.884255447069506</v>
      </c>
      <c r="I525">
        <v>77241</v>
      </c>
      <c r="J525">
        <v>80</v>
      </c>
      <c r="K525">
        <v>9</v>
      </c>
      <c r="L525" t="b">
        <v>1</v>
      </c>
      <c r="M525" s="2" t="s">
        <v>100</v>
      </c>
      <c r="N525" s="2" t="s">
        <v>100</v>
      </c>
      <c r="O525" t="b">
        <v>1</v>
      </c>
      <c r="P525" s="2" t="s">
        <v>100</v>
      </c>
      <c r="Q525">
        <v>85.960763534790999</v>
      </c>
      <c r="R525" s="2" t="s">
        <v>100</v>
      </c>
      <c r="S525">
        <v>63.414634146341399</v>
      </c>
      <c r="T525">
        <v>0.95</v>
      </c>
      <c r="U525">
        <v>71</v>
      </c>
      <c r="V525" t="b">
        <v>1</v>
      </c>
      <c r="W525" t="b">
        <v>1</v>
      </c>
      <c r="X525">
        <v>72.2222222222222</v>
      </c>
    </row>
    <row r="526" spans="3:24" x14ac:dyDescent="0.35">
      <c r="C526" s="2" t="s">
        <v>48</v>
      </c>
      <c r="D526" s="3">
        <v>42582</v>
      </c>
      <c r="E526">
        <v>31.945958054828999</v>
      </c>
      <c r="F526">
        <v>58.956754809600199</v>
      </c>
      <c r="G526">
        <v>82.717475299442498</v>
      </c>
      <c r="H526">
        <v>55.084406566604201</v>
      </c>
      <c r="I526">
        <v>93180</v>
      </c>
      <c r="J526">
        <v>72.727272727272705</v>
      </c>
      <c r="K526">
        <v>9</v>
      </c>
      <c r="L526" t="b">
        <v>1</v>
      </c>
      <c r="M526" s="2" t="s">
        <v>100</v>
      </c>
      <c r="N526" s="2" t="s">
        <v>100</v>
      </c>
      <c r="O526" t="b">
        <v>1</v>
      </c>
      <c r="P526" s="2" t="s">
        <v>100</v>
      </c>
      <c r="Q526">
        <v>86.761782529177495</v>
      </c>
      <c r="R526" s="2" t="s">
        <v>100</v>
      </c>
      <c r="S526">
        <v>65.384615384615302</v>
      </c>
      <c r="T526">
        <v>0.8</v>
      </c>
      <c r="U526" s="2" t="s">
        <v>100</v>
      </c>
      <c r="V526" t="b">
        <v>1</v>
      </c>
      <c r="W526" t="b">
        <v>1</v>
      </c>
      <c r="X526">
        <v>77.7777777777777</v>
      </c>
    </row>
    <row r="527" spans="3:24" x14ac:dyDescent="0.35">
      <c r="C527" s="2" t="s">
        <v>49</v>
      </c>
      <c r="D527" s="3">
        <v>46022</v>
      </c>
      <c r="E527">
        <v>82.038488961833906</v>
      </c>
      <c r="F527">
        <v>62.6208437338259</v>
      </c>
      <c r="G527">
        <v>85.539641203703695</v>
      </c>
      <c r="H527">
        <v>73.711917650510301</v>
      </c>
      <c r="I527">
        <v>15299</v>
      </c>
      <c r="J527">
        <v>83.3333333333333</v>
      </c>
      <c r="K527">
        <v>12</v>
      </c>
      <c r="L527" t="b">
        <v>1</v>
      </c>
      <c r="M527">
        <v>2070</v>
      </c>
      <c r="N527" s="2" t="s">
        <v>100</v>
      </c>
      <c r="O527" t="b">
        <v>1</v>
      </c>
      <c r="P527">
        <v>71521.013850000003</v>
      </c>
      <c r="Q527">
        <v>69.909916611739803</v>
      </c>
      <c r="R527" t="b">
        <v>0</v>
      </c>
      <c r="S527">
        <v>31.6742081447963</v>
      </c>
      <c r="T527" s="2" t="s">
        <v>100</v>
      </c>
      <c r="U527">
        <v>84.6</v>
      </c>
      <c r="V527" t="b">
        <v>1</v>
      </c>
      <c r="W527" t="b">
        <v>1</v>
      </c>
      <c r="X527">
        <v>52.401746724890799</v>
      </c>
    </row>
    <row r="528" spans="3:24" x14ac:dyDescent="0.35">
      <c r="C528" s="2" t="s">
        <v>49</v>
      </c>
      <c r="D528" s="3">
        <v>45657</v>
      </c>
      <c r="E528">
        <v>81.866447728516704</v>
      </c>
      <c r="F528">
        <v>65.045502477457603</v>
      </c>
      <c r="G528">
        <v>69.359890936688302</v>
      </c>
      <c r="H528">
        <v>68.789415764092993</v>
      </c>
      <c r="I528">
        <v>18037</v>
      </c>
      <c r="J528">
        <v>75</v>
      </c>
      <c r="K528">
        <v>10</v>
      </c>
      <c r="L528" t="b">
        <v>1</v>
      </c>
      <c r="M528">
        <v>1754</v>
      </c>
      <c r="N528" s="2" t="s">
        <v>100</v>
      </c>
      <c r="O528" t="b">
        <v>1</v>
      </c>
      <c r="P528" s="2" t="s">
        <v>100</v>
      </c>
      <c r="Q528">
        <v>70.2374273937494</v>
      </c>
      <c r="R528" t="b">
        <v>0</v>
      </c>
      <c r="S528">
        <v>32.5</v>
      </c>
      <c r="T528" s="2" t="s">
        <v>100</v>
      </c>
      <c r="U528">
        <v>83.2</v>
      </c>
      <c r="V528" t="b">
        <v>1</v>
      </c>
      <c r="W528" t="b">
        <v>1</v>
      </c>
      <c r="X528">
        <v>53.648068669527802</v>
      </c>
    </row>
    <row r="529" spans="3:24" x14ac:dyDescent="0.35">
      <c r="C529" s="2" t="s">
        <v>49</v>
      </c>
      <c r="D529" s="3">
        <v>45291</v>
      </c>
      <c r="E529">
        <v>80.1552223099184</v>
      </c>
      <c r="F529">
        <v>69.682172433939201</v>
      </c>
      <c r="G529">
        <v>82.028581983978896</v>
      </c>
      <c r="H529">
        <v>75.658559669926404</v>
      </c>
      <c r="I529">
        <v>18713</v>
      </c>
      <c r="J529">
        <v>83.3333333333333</v>
      </c>
      <c r="K529">
        <v>11</v>
      </c>
      <c r="L529" t="b">
        <v>1</v>
      </c>
      <c r="M529">
        <v>1371</v>
      </c>
      <c r="N529" s="2" t="s">
        <v>100</v>
      </c>
      <c r="O529" t="b">
        <v>1</v>
      </c>
      <c r="P529" s="2" t="s">
        <v>100</v>
      </c>
      <c r="Q529">
        <v>71.154811864450707</v>
      </c>
      <c r="R529" t="b">
        <v>0</v>
      </c>
      <c r="S529">
        <v>34.210526315789402</v>
      </c>
      <c r="T529" s="2" t="s">
        <v>100</v>
      </c>
      <c r="U529">
        <v>81.8</v>
      </c>
      <c r="V529" t="b">
        <v>1</v>
      </c>
      <c r="W529" t="b">
        <v>1</v>
      </c>
      <c r="X529">
        <v>54.803493449781598</v>
      </c>
    </row>
    <row r="530" spans="3:24" x14ac:dyDescent="0.35">
      <c r="C530" s="2" t="s">
        <v>49</v>
      </c>
      <c r="D530" s="3">
        <v>44926</v>
      </c>
      <c r="E530">
        <v>81.069144311972096</v>
      </c>
      <c r="F530">
        <v>74.509079325051005</v>
      </c>
      <c r="G530">
        <v>88.875031281281196</v>
      </c>
      <c r="H530">
        <v>80.755358677958199</v>
      </c>
      <c r="I530">
        <v>33656</v>
      </c>
      <c r="J530">
        <v>81.818181818181799</v>
      </c>
      <c r="K530">
        <v>10</v>
      </c>
      <c r="L530" t="b">
        <v>1</v>
      </c>
      <c r="M530">
        <v>1298</v>
      </c>
      <c r="N530" s="2" t="s">
        <v>100</v>
      </c>
      <c r="O530" t="b">
        <v>1</v>
      </c>
      <c r="P530" s="2" t="s">
        <v>100</v>
      </c>
      <c r="Q530">
        <v>73.521960578472303</v>
      </c>
      <c r="R530" t="b">
        <v>0</v>
      </c>
      <c r="S530">
        <v>33.7264150943396</v>
      </c>
      <c r="T530" s="2" t="s">
        <v>100</v>
      </c>
      <c r="U530" s="2" t="s">
        <v>100</v>
      </c>
      <c r="V530" t="b">
        <v>1</v>
      </c>
      <c r="W530" t="b">
        <v>1</v>
      </c>
      <c r="X530">
        <v>55.5555555555555</v>
      </c>
    </row>
    <row r="531" spans="3:24" x14ac:dyDescent="0.35">
      <c r="C531" s="2" t="s">
        <v>49</v>
      </c>
      <c r="D531" s="3">
        <v>44561</v>
      </c>
      <c r="E531">
        <v>79.447712418300597</v>
      </c>
      <c r="F531">
        <v>75.935768369170901</v>
      </c>
      <c r="G531">
        <v>86.761758101640197</v>
      </c>
      <c r="H531">
        <v>80.462801481943004</v>
      </c>
      <c r="I531">
        <v>31143</v>
      </c>
      <c r="J531">
        <v>83.3333333333333</v>
      </c>
      <c r="K531">
        <v>10</v>
      </c>
      <c r="L531" t="b">
        <v>1</v>
      </c>
      <c r="M531">
        <v>875</v>
      </c>
      <c r="N531" s="2" t="s">
        <v>100</v>
      </c>
      <c r="O531" t="b">
        <v>1</v>
      </c>
      <c r="P531" s="2" t="s">
        <v>100</v>
      </c>
      <c r="Q531">
        <v>75.621147307915805</v>
      </c>
      <c r="R531" t="b">
        <v>0</v>
      </c>
      <c r="S531">
        <v>34.065934065934101</v>
      </c>
      <c r="T531">
        <v>0.81950999999999996</v>
      </c>
      <c r="U531" s="2" t="s">
        <v>100</v>
      </c>
      <c r="V531" t="b">
        <v>1</v>
      </c>
      <c r="W531" t="b">
        <v>1</v>
      </c>
      <c r="X531">
        <v>56.218905472636798</v>
      </c>
    </row>
    <row r="532" spans="3:24" x14ac:dyDescent="0.35">
      <c r="C532" s="2" t="s">
        <v>49</v>
      </c>
      <c r="D532" s="3">
        <v>44196</v>
      </c>
      <c r="E532">
        <v>82.567536096879294</v>
      </c>
      <c r="F532">
        <v>90.648689972589693</v>
      </c>
      <c r="G532">
        <v>80.461945461945405</v>
      </c>
      <c r="H532">
        <v>85.788138097414503</v>
      </c>
      <c r="I532">
        <v>34919</v>
      </c>
      <c r="J532">
        <v>78.571428571428498</v>
      </c>
      <c r="K532">
        <v>11</v>
      </c>
      <c r="L532" t="b">
        <v>1</v>
      </c>
      <c r="M532">
        <v>276</v>
      </c>
      <c r="N532" s="2" t="s">
        <v>100</v>
      </c>
      <c r="O532" t="b">
        <v>1</v>
      </c>
      <c r="P532" s="2" t="s">
        <v>100</v>
      </c>
      <c r="Q532">
        <v>78.200069035947806</v>
      </c>
      <c r="R532" t="b">
        <v>0</v>
      </c>
      <c r="S532">
        <v>93.195266272189301</v>
      </c>
      <c r="T532">
        <v>0.89661000000000002</v>
      </c>
      <c r="U532" s="2" t="s">
        <v>100</v>
      </c>
      <c r="V532" t="b">
        <v>1</v>
      </c>
      <c r="W532" t="b">
        <v>1</v>
      </c>
      <c r="X532">
        <v>55.913978494623599</v>
      </c>
    </row>
    <row r="533" spans="3:24" x14ac:dyDescent="0.35">
      <c r="C533" s="2" t="s">
        <v>49</v>
      </c>
      <c r="D533" s="3">
        <v>43830</v>
      </c>
      <c r="E533">
        <v>80.278532608695599</v>
      </c>
      <c r="F533">
        <v>92.545111598964695</v>
      </c>
      <c r="G533">
        <v>66.126162018592197</v>
      </c>
      <c r="H533">
        <v>81.032730752249506</v>
      </c>
      <c r="I533">
        <v>50798</v>
      </c>
      <c r="J533">
        <v>83.3333333333333</v>
      </c>
      <c r="K533">
        <v>12</v>
      </c>
      <c r="L533" t="b">
        <v>1</v>
      </c>
      <c r="M533">
        <v>469</v>
      </c>
      <c r="N533" s="2" t="s">
        <v>100</v>
      </c>
      <c r="O533" t="b">
        <v>1</v>
      </c>
      <c r="P533">
        <v>51525</v>
      </c>
      <c r="Q533">
        <v>80.269779293880703</v>
      </c>
      <c r="R533" t="b">
        <v>0</v>
      </c>
      <c r="S533">
        <v>94.890510948905103</v>
      </c>
      <c r="T533">
        <v>0.57182999999999995</v>
      </c>
      <c r="U533" s="2" t="s">
        <v>100</v>
      </c>
      <c r="V533" t="b">
        <v>1</v>
      </c>
      <c r="W533" t="b">
        <v>1</v>
      </c>
      <c r="X533">
        <v>57.051282051282001</v>
      </c>
    </row>
    <row r="534" spans="3:24" x14ac:dyDescent="0.35">
      <c r="C534" s="2" t="s">
        <v>49</v>
      </c>
      <c r="D534" s="3">
        <v>43465</v>
      </c>
      <c r="E534">
        <v>81.573529411764696</v>
      </c>
      <c r="F534">
        <v>92.402807222651703</v>
      </c>
      <c r="G534">
        <v>70.480776893564197</v>
      </c>
      <c r="H534">
        <v>82.768169637978801</v>
      </c>
      <c r="I534">
        <v>52985</v>
      </c>
      <c r="J534">
        <v>81.818181818181799</v>
      </c>
      <c r="K534">
        <v>10</v>
      </c>
      <c r="L534" t="b">
        <v>1</v>
      </c>
      <c r="M534">
        <v>547</v>
      </c>
      <c r="N534" s="2" t="s">
        <v>100</v>
      </c>
      <c r="O534" t="b">
        <v>1</v>
      </c>
      <c r="P534">
        <v>95940</v>
      </c>
      <c r="Q534">
        <v>82.220517481419506</v>
      </c>
      <c r="R534" t="b">
        <v>0</v>
      </c>
      <c r="S534">
        <v>94.0944881889763</v>
      </c>
      <c r="T534">
        <v>0.43170999999999998</v>
      </c>
      <c r="U534" s="2" t="s">
        <v>100</v>
      </c>
      <c r="V534" t="b">
        <v>1</v>
      </c>
      <c r="W534" t="b">
        <v>1</v>
      </c>
      <c r="X534">
        <v>58.783783783783697</v>
      </c>
    </row>
    <row r="535" spans="3:24" x14ac:dyDescent="0.35">
      <c r="C535" s="2" t="s">
        <v>49</v>
      </c>
      <c r="D535" s="3">
        <v>43100</v>
      </c>
      <c r="E535">
        <v>80.823236889692495</v>
      </c>
      <c r="F535">
        <v>95.187854697646898</v>
      </c>
      <c r="G535">
        <v>70.8186504759678</v>
      </c>
      <c r="H535" s="2">
        <v>84.185058411735994</v>
      </c>
      <c r="I535" s="2">
        <v>76738</v>
      </c>
      <c r="J535">
        <v>80</v>
      </c>
      <c r="K535">
        <v>10</v>
      </c>
      <c r="L535" t="b">
        <v>1</v>
      </c>
      <c r="M535">
        <v>1244</v>
      </c>
      <c r="N535" s="2" t="s">
        <v>100</v>
      </c>
      <c r="O535" t="b">
        <v>1</v>
      </c>
      <c r="P535">
        <v>151165</v>
      </c>
      <c r="Q535">
        <v>85.960763534790999</v>
      </c>
      <c r="R535" s="2" t="s">
        <v>100</v>
      </c>
      <c r="S535">
        <v>94.4444444444444</v>
      </c>
      <c r="T535">
        <v>0.44500000000000001</v>
      </c>
      <c r="U535" s="2" t="s">
        <v>100</v>
      </c>
      <c r="V535" t="b">
        <v>1</v>
      </c>
      <c r="W535" t="b">
        <v>1</v>
      </c>
      <c r="X535">
        <v>60.357142857142797</v>
      </c>
    </row>
    <row r="536" spans="3:24" x14ac:dyDescent="0.35">
      <c r="C536" s="2" t="s">
        <v>49</v>
      </c>
      <c r="D536" s="3">
        <v>42735</v>
      </c>
      <c r="E536">
        <v>82.3972102136659</v>
      </c>
      <c r="F536">
        <v>94.101620142093296</v>
      </c>
      <c r="G536">
        <v>66.088618424684</v>
      </c>
      <c r="H536">
        <v>82.058423276602099</v>
      </c>
      <c r="I536">
        <v>96672</v>
      </c>
      <c r="J536">
        <v>80</v>
      </c>
      <c r="K536">
        <v>10</v>
      </c>
      <c r="L536" t="b">
        <v>1</v>
      </c>
      <c r="M536">
        <v>1249</v>
      </c>
      <c r="N536" s="2" t="s">
        <v>100</v>
      </c>
      <c r="O536" t="b">
        <v>1</v>
      </c>
      <c r="P536">
        <v>144561</v>
      </c>
      <c r="Q536">
        <v>86.761782529177495</v>
      </c>
      <c r="R536" s="2" t="s">
        <v>100</v>
      </c>
      <c r="S536">
        <v>93.693693693693604</v>
      </c>
      <c r="T536">
        <v>0.56499999999999995</v>
      </c>
      <c r="U536" s="2" t="s">
        <v>100</v>
      </c>
      <c r="V536" t="b">
        <v>1</v>
      </c>
      <c r="W536" t="b">
        <v>1</v>
      </c>
      <c r="X536">
        <v>59.375</v>
      </c>
    </row>
    <row r="537" spans="3:24" x14ac:dyDescent="0.35">
      <c r="C537" s="2" t="s">
        <v>50</v>
      </c>
      <c r="D537" s="3">
        <v>45689</v>
      </c>
      <c r="E537">
        <v>54.064896346460998</v>
      </c>
      <c r="F537">
        <v>42.4244292469619</v>
      </c>
      <c r="G537">
        <v>57.227323952241697</v>
      </c>
      <c r="H537">
        <v>50.322648578675199</v>
      </c>
      <c r="I537">
        <v>89846</v>
      </c>
      <c r="J537">
        <v>61.538461538461497</v>
      </c>
      <c r="K537">
        <v>11</v>
      </c>
      <c r="L537" t="b">
        <v>1</v>
      </c>
      <c r="M537" s="2" t="s">
        <v>100</v>
      </c>
      <c r="N537" s="2" t="s">
        <v>100</v>
      </c>
      <c r="O537" t="b">
        <v>1</v>
      </c>
      <c r="P537" s="2" t="s">
        <v>100</v>
      </c>
      <c r="Q537">
        <v>69.909916611739803</v>
      </c>
      <c r="R537" t="b">
        <v>0</v>
      </c>
      <c r="S537">
        <v>51.805054151624503</v>
      </c>
      <c r="T537" s="2" t="s">
        <v>100</v>
      </c>
      <c r="U537" s="2" t="s">
        <v>100</v>
      </c>
      <c r="V537" t="b">
        <v>1</v>
      </c>
      <c r="W537" t="b">
        <v>1</v>
      </c>
      <c r="X537">
        <v>51.9366197183098</v>
      </c>
    </row>
    <row r="538" spans="3:24" x14ac:dyDescent="0.35">
      <c r="C538" s="2" t="s">
        <v>50</v>
      </c>
      <c r="D538" s="3">
        <v>45325</v>
      </c>
      <c r="E538">
        <v>51.412517139701798</v>
      </c>
      <c r="F538">
        <v>33.403907979265099</v>
      </c>
      <c r="G538">
        <v>35.206652731162499</v>
      </c>
      <c r="H538">
        <v>37.542777936245599</v>
      </c>
      <c r="I538">
        <v>78196</v>
      </c>
      <c r="J538">
        <v>53.846153846153797</v>
      </c>
      <c r="K538">
        <v>12</v>
      </c>
      <c r="L538" t="b">
        <v>1</v>
      </c>
      <c r="M538" s="2" t="s">
        <v>100</v>
      </c>
      <c r="N538" s="2" t="s">
        <v>100</v>
      </c>
      <c r="O538" t="b">
        <v>1</v>
      </c>
      <c r="P538" s="2" t="s">
        <v>100</v>
      </c>
      <c r="Q538">
        <v>70.2374273937494</v>
      </c>
      <c r="R538" t="b">
        <v>0</v>
      </c>
      <c r="S538">
        <v>21.376811594202898</v>
      </c>
      <c r="T538" s="2" t="s">
        <v>100</v>
      </c>
      <c r="U538" s="2" t="s">
        <v>100</v>
      </c>
      <c r="V538" t="b">
        <v>1</v>
      </c>
      <c r="W538" t="b">
        <v>1</v>
      </c>
      <c r="X538">
        <v>51.943462897526501</v>
      </c>
    </row>
    <row r="539" spans="3:24" x14ac:dyDescent="0.35">
      <c r="C539" s="2" t="s">
        <v>50</v>
      </c>
      <c r="D539" s="3">
        <v>44954</v>
      </c>
      <c r="E539">
        <v>52.989470688673798</v>
      </c>
      <c r="F539">
        <v>37.851922380965398</v>
      </c>
      <c r="G539">
        <v>19.6479514142315</v>
      </c>
      <c r="H539">
        <v>33.778868282415701</v>
      </c>
      <c r="I539">
        <v>81817</v>
      </c>
      <c r="J539">
        <v>30</v>
      </c>
      <c r="K539">
        <v>9</v>
      </c>
      <c r="L539" t="b">
        <v>1</v>
      </c>
      <c r="M539" s="2" t="s">
        <v>100</v>
      </c>
      <c r="N539" s="2" t="s">
        <v>100</v>
      </c>
      <c r="O539" t="b">
        <v>1</v>
      </c>
      <c r="P539" s="2" t="s">
        <v>100</v>
      </c>
      <c r="Q539">
        <v>71.154811864450707</v>
      </c>
      <c r="R539" t="b">
        <v>0</v>
      </c>
      <c r="S539">
        <v>24.907063197026002</v>
      </c>
      <c r="T539" s="2" t="s">
        <v>100</v>
      </c>
      <c r="U539" s="2" t="s">
        <v>100</v>
      </c>
      <c r="V539" t="b">
        <v>1</v>
      </c>
      <c r="W539" t="b">
        <v>1</v>
      </c>
      <c r="X539">
        <v>52.707581227436798</v>
      </c>
    </row>
    <row r="540" spans="3:24" x14ac:dyDescent="0.35">
      <c r="C540" s="2" t="s">
        <v>50</v>
      </c>
      <c r="D540" s="3">
        <v>44590</v>
      </c>
      <c r="E540">
        <v>60.0076284191599</v>
      </c>
      <c r="F540">
        <v>40.055844650240303</v>
      </c>
      <c r="G540">
        <v>45.499937437437403</v>
      </c>
      <c r="H540">
        <v>45.961370694704598</v>
      </c>
      <c r="I540">
        <v>81516</v>
      </c>
      <c r="J540">
        <v>45.454545454545404</v>
      </c>
      <c r="K540">
        <v>7</v>
      </c>
      <c r="L540" t="b">
        <v>1</v>
      </c>
      <c r="M540" s="2" t="s">
        <v>100</v>
      </c>
      <c r="N540" s="2" t="s">
        <v>100</v>
      </c>
      <c r="O540" t="b">
        <v>1</v>
      </c>
      <c r="P540" s="2" t="s">
        <v>100</v>
      </c>
      <c r="Q540">
        <v>73.521960578472303</v>
      </c>
      <c r="R540" t="b">
        <v>0</v>
      </c>
      <c r="S540">
        <v>25.581395348837201</v>
      </c>
      <c r="T540" s="2" t="s">
        <v>100</v>
      </c>
      <c r="U540" s="2" t="s">
        <v>100</v>
      </c>
      <c r="V540" t="b">
        <v>1</v>
      </c>
      <c r="W540" t="b">
        <v>1</v>
      </c>
      <c r="X540">
        <v>53.874538745387397</v>
      </c>
    </row>
    <row r="541" spans="3:24" x14ac:dyDescent="0.35">
      <c r="C541" s="2" t="s">
        <v>50</v>
      </c>
      <c r="D541" s="3">
        <v>44226</v>
      </c>
      <c r="E541">
        <v>60.601270270707602</v>
      </c>
      <c r="F541">
        <v>43.377715625461498</v>
      </c>
      <c r="G541">
        <v>38.505046385494097</v>
      </c>
      <c r="H541">
        <v>44.809714465627501</v>
      </c>
      <c r="I541">
        <v>55548</v>
      </c>
      <c r="J541">
        <v>57.142857142857103</v>
      </c>
      <c r="K541">
        <v>7</v>
      </c>
      <c r="L541" t="b">
        <v>1</v>
      </c>
      <c r="M541" s="2" t="s">
        <v>100</v>
      </c>
      <c r="N541" s="2" t="s">
        <v>100</v>
      </c>
      <c r="O541" t="b">
        <v>1</v>
      </c>
      <c r="P541">
        <v>8400000</v>
      </c>
      <c r="Q541">
        <v>75.621147307915805</v>
      </c>
      <c r="R541" t="b">
        <v>0</v>
      </c>
      <c r="S541">
        <v>24.774774774774698</v>
      </c>
      <c r="T541" s="2" t="s">
        <v>100</v>
      </c>
      <c r="U541" s="2" t="s">
        <v>100</v>
      </c>
      <c r="V541" t="b">
        <v>1</v>
      </c>
      <c r="W541" t="b">
        <v>1</v>
      </c>
      <c r="X541">
        <v>56.0416666666666</v>
      </c>
    </row>
    <row r="542" spans="3:24" x14ac:dyDescent="0.35">
      <c r="C542" s="2" t="s">
        <v>50</v>
      </c>
      <c r="D542" s="3">
        <v>43862</v>
      </c>
      <c r="E542">
        <v>52.422619047619001</v>
      </c>
      <c r="F542">
        <v>46.512140485360099</v>
      </c>
      <c r="G542">
        <v>38.933251933251903</v>
      </c>
      <c r="H542">
        <v>44.741381190091602</v>
      </c>
      <c r="I542">
        <v>55118</v>
      </c>
      <c r="J542">
        <v>57.142857142857103</v>
      </c>
      <c r="K542">
        <v>7</v>
      </c>
      <c r="L542" t="b">
        <v>1</v>
      </c>
      <c r="M542">
        <v>5568.9655199999997</v>
      </c>
      <c r="N542" s="2" t="s">
        <v>100</v>
      </c>
      <c r="O542" t="b">
        <v>1</v>
      </c>
      <c r="P542" s="2" t="s">
        <v>100</v>
      </c>
      <c r="Q542">
        <v>78.200069035947806</v>
      </c>
      <c r="R542" t="b">
        <v>0</v>
      </c>
      <c r="S542">
        <v>25.2604166666666</v>
      </c>
      <c r="T542" s="2" t="s">
        <v>100</v>
      </c>
      <c r="U542" s="2" t="s">
        <v>100</v>
      </c>
      <c r="V542" t="b">
        <v>1</v>
      </c>
      <c r="W542" t="b">
        <v>1</v>
      </c>
      <c r="X542">
        <v>57.674418604651102</v>
      </c>
    </row>
    <row r="543" spans="3:24" x14ac:dyDescent="0.35">
      <c r="C543" s="2" t="s">
        <v>50</v>
      </c>
      <c r="D543" s="3">
        <v>43498</v>
      </c>
      <c r="E543">
        <v>55.5746187363834</v>
      </c>
      <c r="F543">
        <v>35.560880296174403</v>
      </c>
      <c r="G543">
        <v>19.9047866504994</v>
      </c>
      <c r="H543">
        <v>33.397347537445199</v>
      </c>
      <c r="I543">
        <v>47589</v>
      </c>
      <c r="J543">
        <v>42.857142857142797</v>
      </c>
      <c r="K543">
        <v>6</v>
      </c>
      <c r="L543" t="b">
        <v>1</v>
      </c>
      <c r="M543">
        <v>4853.0612199999996</v>
      </c>
      <c r="N543" s="2" t="s">
        <v>100</v>
      </c>
      <c r="O543" t="b">
        <v>1</v>
      </c>
      <c r="P543" s="2" t="s">
        <v>100</v>
      </c>
      <c r="Q543">
        <v>80.269779293880703</v>
      </c>
      <c r="R543" t="b">
        <v>0</v>
      </c>
      <c r="S543">
        <v>0</v>
      </c>
      <c r="T543" s="2" t="s">
        <v>100</v>
      </c>
      <c r="U543" s="2" t="s">
        <v>100</v>
      </c>
      <c r="V543" t="b">
        <v>1</v>
      </c>
      <c r="W543" t="b">
        <v>1</v>
      </c>
      <c r="X543">
        <v>0</v>
      </c>
    </row>
    <row r="544" spans="3:24" x14ac:dyDescent="0.35">
      <c r="C544" s="2" t="s">
        <v>50</v>
      </c>
      <c r="D544" s="3">
        <v>43134</v>
      </c>
      <c r="E544">
        <v>56.026734699301002</v>
      </c>
      <c r="F544">
        <v>37.9916883116883</v>
      </c>
      <c r="G544">
        <v>22.061697614141298</v>
      </c>
      <c r="H544">
        <v>35.3443603315323</v>
      </c>
      <c r="I544">
        <v>45816</v>
      </c>
      <c r="J544">
        <v>50</v>
      </c>
      <c r="K544">
        <v>6</v>
      </c>
      <c r="L544" t="b">
        <v>1</v>
      </c>
      <c r="M544">
        <v>4259.1840000000002</v>
      </c>
      <c r="N544" s="2" t="s">
        <v>100</v>
      </c>
      <c r="O544" t="b">
        <v>1</v>
      </c>
      <c r="P544" s="2" t="s">
        <v>100</v>
      </c>
      <c r="Q544">
        <v>82.220517481419506</v>
      </c>
      <c r="R544" s="2" t="s">
        <v>100</v>
      </c>
      <c r="S544">
        <v>0</v>
      </c>
      <c r="T544" s="2" t="s">
        <v>100</v>
      </c>
      <c r="U544" s="2" t="s">
        <v>100</v>
      </c>
      <c r="V544" t="b">
        <v>1</v>
      </c>
      <c r="W544" t="b">
        <v>1</v>
      </c>
      <c r="X544">
        <v>0</v>
      </c>
    </row>
    <row r="545" spans="3:24" x14ac:dyDescent="0.35">
      <c r="C545" s="2" t="s">
        <v>50</v>
      </c>
      <c r="D545" s="3">
        <v>42763</v>
      </c>
      <c r="E545">
        <v>45.7222222222222</v>
      </c>
      <c r="F545">
        <v>32.8125</v>
      </c>
      <c r="G545">
        <v>19.356599197549599</v>
      </c>
      <c r="H545">
        <v>30.131250756508301</v>
      </c>
      <c r="I545">
        <v>43919</v>
      </c>
      <c r="J545">
        <v>50</v>
      </c>
      <c r="K545">
        <v>6</v>
      </c>
      <c r="L545" t="b">
        <v>1</v>
      </c>
      <c r="M545">
        <v>4203.1580000000004</v>
      </c>
      <c r="N545" s="2" t="s">
        <v>100</v>
      </c>
      <c r="O545" t="b">
        <v>1</v>
      </c>
      <c r="P545" s="2" t="s">
        <v>100</v>
      </c>
      <c r="Q545">
        <v>85.960763534790999</v>
      </c>
      <c r="R545" s="2" t="s">
        <v>100</v>
      </c>
      <c r="S545">
        <v>0</v>
      </c>
      <c r="T545" s="2" t="s">
        <v>100</v>
      </c>
      <c r="U545" s="2" t="s">
        <v>100</v>
      </c>
      <c r="V545" t="b">
        <v>1</v>
      </c>
      <c r="W545" t="b">
        <v>1</v>
      </c>
      <c r="X545">
        <v>0</v>
      </c>
    </row>
    <row r="546" spans="3:24" x14ac:dyDescent="0.35">
      <c r="C546" s="2" t="s">
        <v>50</v>
      </c>
      <c r="D546" s="3">
        <v>42399</v>
      </c>
      <c r="E546">
        <v>45.4583333333333</v>
      </c>
      <c r="F546">
        <v>26.5500451535219</v>
      </c>
      <c r="G546">
        <v>23.4424849588783</v>
      </c>
      <c r="H546">
        <v>28.980651751707398</v>
      </c>
      <c r="I546">
        <v>48516</v>
      </c>
      <c r="J546">
        <v>60</v>
      </c>
      <c r="K546">
        <v>5</v>
      </c>
      <c r="L546" t="b">
        <v>1</v>
      </c>
      <c r="M546">
        <v>1724.211</v>
      </c>
      <c r="N546" s="2" t="s">
        <v>100</v>
      </c>
      <c r="O546" t="b">
        <v>1</v>
      </c>
      <c r="P546" s="2" t="s">
        <v>100</v>
      </c>
      <c r="Q546">
        <v>86.761782529177495</v>
      </c>
      <c r="R546" s="2" t="s">
        <v>100</v>
      </c>
      <c r="S546">
        <v>0</v>
      </c>
      <c r="T546" s="2" t="s">
        <v>100</v>
      </c>
      <c r="U546" s="2" t="s">
        <v>100</v>
      </c>
      <c r="V546" t="b">
        <v>1</v>
      </c>
      <c r="W546" t="b">
        <v>1</v>
      </c>
      <c r="X546">
        <v>0</v>
      </c>
    </row>
    <row r="547" spans="3:24" x14ac:dyDescent="0.35">
      <c r="C547" s="2" t="s">
        <v>50</v>
      </c>
      <c r="D547" s="3">
        <v>45716</v>
      </c>
      <c r="E547" s="2" t="s">
        <v>100</v>
      </c>
      <c r="F547" s="2" t="s">
        <v>100</v>
      </c>
      <c r="G547" s="2" t="s">
        <v>100</v>
      </c>
      <c r="H547" s="2" t="s">
        <v>100</v>
      </c>
      <c r="I547" s="2" t="s">
        <v>100</v>
      </c>
      <c r="J547" s="2" t="s">
        <v>100</v>
      </c>
      <c r="K547" s="2" t="s">
        <v>100</v>
      </c>
      <c r="L547" s="2" t="s">
        <v>100</v>
      </c>
      <c r="M547" s="2" t="s">
        <v>100</v>
      </c>
      <c r="N547" s="2" t="s">
        <v>100</v>
      </c>
      <c r="O547" s="2" t="s">
        <v>100</v>
      </c>
      <c r="P547" s="2" t="s">
        <v>100</v>
      </c>
      <c r="Q547" s="2" t="s">
        <v>100</v>
      </c>
      <c r="R547" s="2" t="s">
        <v>100</v>
      </c>
      <c r="S547" s="2" t="s">
        <v>100</v>
      </c>
      <c r="T547" s="2" t="s">
        <v>100</v>
      </c>
      <c r="U547" s="2" t="s">
        <v>100</v>
      </c>
      <c r="V547" s="2" t="s">
        <v>100</v>
      </c>
      <c r="W547" s="2" t="s">
        <v>100</v>
      </c>
      <c r="X547" s="2" t="s">
        <v>100</v>
      </c>
    </row>
    <row r="548" spans="3:24" x14ac:dyDescent="0.35">
      <c r="C548" s="2" t="s">
        <v>50</v>
      </c>
      <c r="D548" s="3">
        <v>45351</v>
      </c>
      <c r="E548" s="2" t="s">
        <v>100</v>
      </c>
      <c r="F548" s="2" t="s">
        <v>100</v>
      </c>
      <c r="G548" s="2" t="s">
        <v>100</v>
      </c>
      <c r="H548" s="2" t="s">
        <v>100</v>
      </c>
      <c r="I548" s="2" t="s">
        <v>100</v>
      </c>
      <c r="J548" s="2" t="s">
        <v>100</v>
      </c>
      <c r="K548" s="2" t="s">
        <v>100</v>
      </c>
      <c r="L548" s="2" t="s">
        <v>100</v>
      </c>
      <c r="M548" s="2" t="s">
        <v>100</v>
      </c>
      <c r="N548" s="2" t="s">
        <v>100</v>
      </c>
      <c r="O548" s="2" t="s">
        <v>100</v>
      </c>
      <c r="P548" s="2" t="s">
        <v>100</v>
      </c>
      <c r="Q548" s="2" t="s">
        <v>100</v>
      </c>
      <c r="R548" s="2" t="s">
        <v>100</v>
      </c>
      <c r="S548" s="2" t="s">
        <v>100</v>
      </c>
      <c r="T548" s="2" t="s">
        <v>100</v>
      </c>
      <c r="U548" s="2" t="s">
        <v>100</v>
      </c>
      <c r="V548" s="2" t="s">
        <v>100</v>
      </c>
      <c r="W548" s="2" t="s">
        <v>100</v>
      </c>
      <c r="X548" s="2" t="s">
        <v>100</v>
      </c>
    </row>
    <row r="549" spans="3:24" x14ac:dyDescent="0.35">
      <c r="C549" s="2" t="s">
        <v>50</v>
      </c>
      <c r="D549" s="3">
        <v>44985</v>
      </c>
      <c r="E549" s="2" t="s">
        <v>100</v>
      </c>
      <c r="F549" s="2" t="s">
        <v>100</v>
      </c>
      <c r="G549" s="2" t="s">
        <v>100</v>
      </c>
      <c r="H549" s="2" t="s">
        <v>100</v>
      </c>
      <c r="I549" s="2" t="s">
        <v>100</v>
      </c>
      <c r="J549" s="2" t="s">
        <v>100</v>
      </c>
      <c r="K549" s="2" t="s">
        <v>100</v>
      </c>
      <c r="L549" s="2" t="s">
        <v>100</v>
      </c>
      <c r="M549" s="2" t="s">
        <v>100</v>
      </c>
      <c r="N549" s="2" t="s">
        <v>100</v>
      </c>
      <c r="O549" s="2" t="s">
        <v>100</v>
      </c>
      <c r="P549" s="2" t="s">
        <v>100</v>
      </c>
      <c r="Q549" s="2" t="s">
        <v>100</v>
      </c>
      <c r="R549" s="2" t="s">
        <v>100</v>
      </c>
      <c r="S549" s="2" t="s">
        <v>100</v>
      </c>
      <c r="T549" s="2" t="s">
        <v>100</v>
      </c>
      <c r="U549" s="2" t="s">
        <v>100</v>
      </c>
      <c r="V549" s="2" t="s">
        <v>100</v>
      </c>
      <c r="W549" s="2" t="s">
        <v>100</v>
      </c>
      <c r="X549" s="2" t="s">
        <v>100</v>
      </c>
    </row>
    <row r="550" spans="3:24" x14ac:dyDescent="0.35">
      <c r="C550" s="2" t="s">
        <v>50</v>
      </c>
      <c r="D550" s="3">
        <v>44620</v>
      </c>
      <c r="E550" s="2" t="s">
        <v>100</v>
      </c>
      <c r="F550" s="2" t="s">
        <v>100</v>
      </c>
      <c r="G550" s="2" t="s">
        <v>100</v>
      </c>
      <c r="H550" s="2" t="s">
        <v>100</v>
      </c>
      <c r="I550" s="2" t="s">
        <v>100</v>
      </c>
      <c r="J550" s="2" t="s">
        <v>100</v>
      </c>
      <c r="K550" s="2" t="s">
        <v>100</v>
      </c>
      <c r="L550" s="2" t="s">
        <v>100</v>
      </c>
      <c r="M550" s="2" t="s">
        <v>100</v>
      </c>
      <c r="N550" s="2" t="s">
        <v>100</v>
      </c>
      <c r="O550" s="2" t="s">
        <v>100</v>
      </c>
      <c r="P550" s="2" t="s">
        <v>100</v>
      </c>
      <c r="Q550" s="2" t="s">
        <v>100</v>
      </c>
      <c r="R550" s="2" t="s">
        <v>100</v>
      </c>
      <c r="S550" s="2" t="s">
        <v>100</v>
      </c>
      <c r="T550" s="2" t="s">
        <v>100</v>
      </c>
      <c r="U550" s="2" t="s">
        <v>100</v>
      </c>
      <c r="V550" s="2" t="s">
        <v>100</v>
      </c>
      <c r="W550" s="2" t="s">
        <v>100</v>
      </c>
      <c r="X550" s="2" t="s">
        <v>100</v>
      </c>
    </row>
    <row r="551" spans="3:24" x14ac:dyDescent="0.35">
      <c r="C551" s="2" t="s">
        <v>50</v>
      </c>
      <c r="D551" s="3">
        <v>44255</v>
      </c>
      <c r="E551" s="2" t="s">
        <v>100</v>
      </c>
      <c r="F551" s="2" t="s">
        <v>100</v>
      </c>
      <c r="G551" s="2" t="s">
        <v>100</v>
      </c>
      <c r="H551" s="2" t="s">
        <v>100</v>
      </c>
      <c r="I551" s="2" t="s">
        <v>100</v>
      </c>
      <c r="J551" s="2" t="s">
        <v>100</v>
      </c>
      <c r="K551" s="2" t="s">
        <v>100</v>
      </c>
      <c r="L551" s="2" t="s">
        <v>100</v>
      </c>
      <c r="M551" s="2" t="s">
        <v>100</v>
      </c>
      <c r="N551" s="2" t="s">
        <v>100</v>
      </c>
      <c r="O551" s="2" t="s">
        <v>100</v>
      </c>
      <c r="P551" s="2" t="s">
        <v>100</v>
      </c>
      <c r="Q551" s="2" t="s">
        <v>100</v>
      </c>
      <c r="R551" s="2" t="s">
        <v>100</v>
      </c>
      <c r="S551" s="2" t="s">
        <v>100</v>
      </c>
      <c r="T551" s="2" t="s">
        <v>100</v>
      </c>
      <c r="U551" s="2" t="s">
        <v>100</v>
      </c>
      <c r="V551" s="2" t="s">
        <v>100</v>
      </c>
      <c r="W551" s="2" t="s">
        <v>100</v>
      </c>
      <c r="X551" s="2" t="s">
        <v>100</v>
      </c>
    </row>
    <row r="552" spans="3:24" x14ac:dyDescent="0.35">
      <c r="C552" s="2" t="s">
        <v>50</v>
      </c>
      <c r="D552" s="3">
        <v>45688</v>
      </c>
      <c r="E552" s="2" t="s">
        <v>100</v>
      </c>
      <c r="F552" s="2" t="s">
        <v>100</v>
      </c>
      <c r="G552" s="2" t="s">
        <v>100</v>
      </c>
      <c r="H552" s="2" t="s">
        <v>100</v>
      </c>
      <c r="I552" s="2" t="s">
        <v>100</v>
      </c>
      <c r="J552" s="2" t="s">
        <v>100</v>
      </c>
      <c r="K552" s="2" t="s">
        <v>100</v>
      </c>
      <c r="L552" s="2" t="s">
        <v>100</v>
      </c>
      <c r="M552" s="2" t="s">
        <v>100</v>
      </c>
      <c r="N552" s="2" t="s">
        <v>100</v>
      </c>
      <c r="O552" s="2" t="s">
        <v>100</v>
      </c>
      <c r="P552" s="2" t="s">
        <v>100</v>
      </c>
      <c r="Q552" s="2" t="s">
        <v>100</v>
      </c>
      <c r="R552" s="2" t="s">
        <v>100</v>
      </c>
      <c r="S552" s="2" t="s">
        <v>100</v>
      </c>
      <c r="T552" s="2" t="s">
        <v>100</v>
      </c>
      <c r="U552" s="2" t="s">
        <v>100</v>
      </c>
      <c r="V552" s="2" t="s">
        <v>100</v>
      </c>
      <c r="W552" s="2" t="s">
        <v>100</v>
      </c>
      <c r="X552" s="2" t="s">
        <v>100</v>
      </c>
    </row>
    <row r="553" spans="3:24" x14ac:dyDescent="0.35">
      <c r="C553" s="2" t="s">
        <v>50</v>
      </c>
      <c r="D553" s="3">
        <v>45322</v>
      </c>
      <c r="E553" s="2" t="s">
        <v>100</v>
      </c>
      <c r="F553" s="2" t="s">
        <v>100</v>
      </c>
      <c r="G553" s="2" t="s">
        <v>100</v>
      </c>
      <c r="H553" s="2" t="s">
        <v>100</v>
      </c>
      <c r="I553" s="2" t="s">
        <v>100</v>
      </c>
      <c r="J553" s="2" t="s">
        <v>100</v>
      </c>
      <c r="K553" s="2" t="s">
        <v>100</v>
      </c>
      <c r="L553" s="2" t="s">
        <v>100</v>
      </c>
      <c r="M553" s="2" t="s">
        <v>100</v>
      </c>
      <c r="N553" s="2" t="s">
        <v>100</v>
      </c>
      <c r="O553" s="2" t="s">
        <v>100</v>
      </c>
      <c r="P553" s="2" t="s">
        <v>100</v>
      </c>
      <c r="Q553" s="2" t="s">
        <v>100</v>
      </c>
      <c r="R553" s="2" t="s">
        <v>100</v>
      </c>
      <c r="S553" s="2" t="s">
        <v>100</v>
      </c>
      <c r="T553" s="2" t="s">
        <v>100</v>
      </c>
      <c r="U553" s="2" t="s">
        <v>100</v>
      </c>
      <c r="V553" s="2" t="s">
        <v>100</v>
      </c>
      <c r="W553" s="2" t="s">
        <v>100</v>
      </c>
      <c r="X553" s="2" t="s">
        <v>100</v>
      </c>
    </row>
    <row r="554" spans="3:24" x14ac:dyDescent="0.35">
      <c r="C554" s="2" t="s">
        <v>50</v>
      </c>
      <c r="D554" s="3">
        <v>44957</v>
      </c>
      <c r="E554" s="2" t="s">
        <v>100</v>
      </c>
      <c r="F554" s="2" t="s">
        <v>100</v>
      </c>
      <c r="G554" s="2" t="s">
        <v>100</v>
      </c>
      <c r="H554" s="2" t="s">
        <v>100</v>
      </c>
      <c r="I554" s="2" t="s">
        <v>100</v>
      </c>
      <c r="J554" s="2" t="s">
        <v>100</v>
      </c>
      <c r="K554" s="2" t="s">
        <v>100</v>
      </c>
      <c r="L554" s="2" t="s">
        <v>100</v>
      </c>
      <c r="M554" s="2" t="s">
        <v>100</v>
      </c>
      <c r="N554" s="2" t="s">
        <v>100</v>
      </c>
      <c r="O554" s="2" t="s">
        <v>100</v>
      </c>
      <c r="P554" s="2" t="s">
        <v>100</v>
      </c>
      <c r="Q554" s="2" t="s">
        <v>100</v>
      </c>
      <c r="R554" s="2" t="s">
        <v>100</v>
      </c>
      <c r="S554" s="2" t="s">
        <v>100</v>
      </c>
      <c r="T554" s="2" t="s">
        <v>100</v>
      </c>
      <c r="U554" s="2" t="s">
        <v>100</v>
      </c>
      <c r="V554" s="2" t="s">
        <v>100</v>
      </c>
      <c r="W554" s="2" t="s">
        <v>100</v>
      </c>
      <c r="X554" s="2" t="s">
        <v>100</v>
      </c>
    </row>
    <row r="555" spans="3:24" x14ac:dyDescent="0.35">
      <c r="C555" s="2" t="s">
        <v>50</v>
      </c>
      <c r="D555" s="3">
        <v>44592</v>
      </c>
      <c r="E555" s="2" t="s">
        <v>100</v>
      </c>
      <c r="F555" s="2" t="s">
        <v>100</v>
      </c>
      <c r="G555" s="2" t="s">
        <v>100</v>
      </c>
      <c r="H555" s="2" t="s">
        <v>100</v>
      </c>
      <c r="I555" s="2" t="s">
        <v>100</v>
      </c>
      <c r="J555" s="2" t="s">
        <v>100</v>
      </c>
      <c r="K555" s="2" t="s">
        <v>100</v>
      </c>
      <c r="L555" s="2" t="s">
        <v>100</v>
      </c>
      <c r="M555" s="2" t="s">
        <v>100</v>
      </c>
      <c r="N555" s="2" t="s">
        <v>100</v>
      </c>
      <c r="O555" s="2" t="s">
        <v>100</v>
      </c>
      <c r="P555" s="2" t="s">
        <v>100</v>
      </c>
      <c r="Q555" s="2" t="s">
        <v>100</v>
      </c>
      <c r="R555" s="2" t="s">
        <v>100</v>
      </c>
      <c r="S555" s="2" t="s">
        <v>100</v>
      </c>
      <c r="T555" s="2" t="s">
        <v>100</v>
      </c>
      <c r="U555" s="2" t="s">
        <v>100</v>
      </c>
      <c r="V555" s="2" t="s">
        <v>100</v>
      </c>
      <c r="W555" s="2" t="s">
        <v>100</v>
      </c>
      <c r="X555" s="2" t="s">
        <v>100</v>
      </c>
    </row>
    <row r="556" spans="3:24" x14ac:dyDescent="0.35">
      <c r="C556" s="2" t="s">
        <v>50</v>
      </c>
      <c r="D556" s="3">
        <v>43861</v>
      </c>
      <c r="E556" s="2" t="s">
        <v>100</v>
      </c>
      <c r="F556" s="2" t="s">
        <v>100</v>
      </c>
      <c r="G556" s="2" t="s">
        <v>100</v>
      </c>
      <c r="H556" s="2" t="s">
        <v>100</v>
      </c>
      <c r="I556" s="2" t="s">
        <v>100</v>
      </c>
      <c r="J556" s="2" t="s">
        <v>100</v>
      </c>
      <c r="K556" s="2" t="s">
        <v>100</v>
      </c>
      <c r="L556" s="2" t="s">
        <v>100</v>
      </c>
      <c r="M556" s="2" t="s">
        <v>100</v>
      </c>
      <c r="N556" s="2" t="s">
        <v>100</v>
      </c>
      <c r="O556" s="2" t="s">
        <v>100</v>
      </c>
      <c r="P556" s="2" t="s">
        <v>100</v>
      </c>
      <c r="Q556" s="2" t="s">
        <v>100</v>
      </c>
      <c r="R556" s="2" t="s">
        <v>100</v>
      </c>
      <c r="S556" s="2" t="s">
        <v>100</v>
      </c>
      <c r="T556" s="2" t="s">
        <v>100</v>
      </c>
      <c r="U556" s="2" t="s">
        <v>100</v>
      </c>
      <c r="V556" s="2" t="s">
        <v>100</v>
      </c>
      <c r="W556" s="2" t="s">
        <v>100</v>
      </c>
      <c r="X556" s="2" t="s">
        <v>100</v>
      </c>
    </row>
    <row r="557" spans="3:24" x14ac:dyDescent="0.35">
      <c r="C557" s="2" t="s">
        <v>50</v>
      </c>
      <c r="D557" s="3">
        <v>43496</v>
      </c>
      <c r="E557" s="2" t="s">
        <v>100</v>
      </c>
      <c r="F557" s="2" t="s">
        <v>100</v>
      </c>
      <c r="G557" s="2" t="s">
        <v>100</v>
      </c>
      <c r="H557" s="2" t="s">
        <v>100</v>
      </c>
      <c r="I557" s="2" t="s">
        <v>100</v>
      </c>
      <c r="J557" s="2" t="s">
        <v>100</v>
      </c>
      <c r="K557" s="2" t="s">
        <v>100</v>
      </c>
      <c r="L557" s="2" t="s">
        <v>100</v>
      </c>
      <c r="M557" s="2" t="s">
        <v>100</v>
      </c>
      <c r="N557" s="2" t="s">
        <v>100</v>
      </c>
      <c r="O557" s="2" t="s">
        <v>100</v>
      </c>
      <c r="P557" s="2" t="s">
        <v>100</v>
      </c>
      <c r="Q557" s="2" t="s">
        <v>100</v>
      </c>
      <c r="R557" s="2" t="s">
        <v>100</v>
      </c>
      <c r="S557" s="2" t="s">
        <v>100</v>
      </c>
      <c r="T557" s="2" t="s">
        <v>100</v>
      </c>
      <c r="U557" s="2" t="s">
        <v>100</v>
      </c>
      <c r="V557" s="2" t="s">
        <v>100</v>
      </c>
      <c r="W557" s="2" t="s">
        <v>100</v>
      </c>
      <c r="X557" s="2" t="s">
        <v>100</v>
      </c>
    </row>
    <row r="558" spans="3:24" x14ac:dyDescent="0.35">
      <c r="C558" s="2" t="s">
        <v>50</v>
      </c>
      <c r="D558" s="3">
        <v>43131</v>
      </c>
      <c r="E558" s="2" t="s">
        <v>100</v>
      </c>
      <c r="F558" s="2" t="s">
        <v>100</v>
      </c>
      <c r="G558" s="2" t="s">
        <v>100</v>
      </c>
      <c r="H558" s="2" t="s">
        <v>100</v>
      </c>
      <c r="I558" s="2" t="s">
        <v>100</v>
      </c>
      <c r="J558" s="2" t="s">
        <v>100</v>
      </c>
      <c r="K558" s="2" t="s">
        <v>100</v>
      </c>
      <c r="L558" s="2" t="s">
        <v>100</v>
      </c>
      <c r="M558" s="2" t="s">
        <v>100</v>
      </c>
      <c r="N558" s="2" t="s">
        <v>100</v>
      </c>
      <c r="O558" s="2" t="s">
        <v>100</v>
      </c>
      <c r="P558" s="2" t="s">
        <v>100</v>
      </c>
      <c r="Q558" s="2" t="s">
        <v>100</v>
      </c>
      <c r="R558" s="2" t="s">
        <v>100</v>
      </c>
      <c r="S558" s="2" t="s">
        <v>100</v>
      </c>
      <c r="T558" s="2" t="s">
        <v>100</v>
      </c>
      <c r="U558" s="2" t="s">
        <v>100</v>
      </c>
      <c r="V558" s="2" t="s">
        <v>100</v>
      </c>
      <c r="W558" s="2" t="s">
        <v>100</v>
      </c>
      <c r="X558" s="2" t="s">
        <v>100</v>
      </c>
    </row>
    <row r="559" spans="3:24" x14ac:dyDescent="0.35">
      <c r="C559" s="2" t="s">
        <v>50</v>
      </c>
      <c r="D559" s="3">
        <v>42766</v>
      </c>
      <c r="E559" s="2" t="s">
        <v>100</v>
      </c>
      <c r="F559" s="2" t="s">
        <v>100</v>
      </c>
      <c r="G559" s="2" t="s">
        <v>100</v>
      </c>
      <c r="H559" s="2" t="s">
        <v>100</v>
      </c>
      <c r="I559" s="2" t="s">
        <v>100</v>
      </c>
      <c r="J559" s="2" t="s">
        <v>100</v>
      </c>
      <c r="K559" s="2" t="s">
        <v>100</v>
      </c>
      <c r="L559" s="2" t="s">
        <v>100</v>
      </c>
      <c r="M559" s="2" t="s">
        <v>100</v>
      </c>
      <c r="N559" s="2" t="s">
        <v>100</v>
      </c>
      <c r="O559" s="2" t="s">
        <v>100</v>
      </c>
      <c r="P559" s="2" t="s">
        <v>100</v>
      </c>
      <c r="Q559" s="2" t="s">
        <v>100</v>
      </c>
      <c r="R559" s="2" t="s">
        <v>100</v>
      </c>
      <c r="S559" s="2" t="s">
        <v>100</v>
      </c>
      <c r="T559" s="2" t="s">
        <v>100</v>
      </c>
      <c r="U559" s="2" t="s">
        <v>100</v>
      </c>
      <c r="V559" s="2" t="s">
        <v>100</v>
      </c>
      <c r="W559" s="2" t="s">
        <v>100</v>
      </c>
      <c r="X559" s="2" t="s">
        <v>100</v>
      </c>
    </row>
    <row r="560" spans="3:24" x14ac:dyDescent="0.35">
      <c r="C560" s="2" t="s">
        <v>50</v>
      </c>
      <c r="D560" s="3">
        <v>42400</v>
      </c>
      <c r="E560" s="2" t="s">
        <v>100</v>
      </c>
      <c r="F560" s="2" t="s">
        <v>100</v>
      </c>
      <c r="G560" s="2" t="s">
        <v>100</v>
      </c>
      <c r="H560" s="2" t="s">
        <v>100</v>
      </c>
      <c r="I560" s="2" t="s">
        <v>100</v>
      </c>
      <c r="J560" s="2" t="s">
        <v>100</v>
      </c>
      <c r="K560" s="2" t="s">
        <v>100</v>
      </c>
      <c r="L560" s="2" t="s">
        <v>100</v>
      </c>
      <c r="M560" s="2" t="s">
        <v>100</v>
      </c>
      <c r="N560" s="2" t="s">
        <v>100</v>
      </c>
      <c r="O560" s="2" t="s">
        <v>100</v>
      </c>
      <c r="P560" s="2" t="s">
        <v>100</v>
      </c>
      <c r="Q560" s="2" t="s">
        <v>100</v>
      </c>
      <c r="R560" s="2" t="s">
        <v>100</v>
      </c>
      <c r="S560" s="2" t="s">
        <v>100</v>
      </c>
      <c r="T560" s="2" t="s">
        <v>100</v>
      </c>
      <c r="U560" s="2" t="s">
        <v>100</v>
      </c>
      <c r="V560" s="2" t="s">
        <v>100</v>
      </c>
      <c r="W560" s="2" t="s">
        <v>100</v>
      </c>
      <c r="X560" s="2" t="s">
        <v>100</v>
      </c>
    </row>
    <row r="561" spans="3:24" x14ac:dyDescent="0.35">
      <c r="C561" s="2" t="s">
        <v>50</v>
      </c>
      <c r="D561" s="3">
        <v>43159</v>
      </c>
      <c r="E561" s="2" t="s">
        <v>100</v>
      </c>
      <c r="F561" s="2" t="s">
        <v>100</v>
      </c>
      <c r="G561" s="2" t="s">
        <v>100</v>
      </c>
      <c r="H561" s="2" t="s">
        <v>100</v>
      </c>
      <c r="I561" s="2" t="s">
        <v>100</v>
      </c>
      <c r="J561" s="2" t="s">
        <v>100</v>
      </c>
      <c r="K561" s="2" t="s">
        <v>100</v>
      </c>
      <c r="L561" s="2" t="s">
        <v>100</v>
      </c>
      <c r="M561" s="2" t="s">
        <v>100</v>
      </c>
      <c r="N561" s="2" t="s">
        <v>100</v>
      </c>
      <c r="O561" s="2" t="s">
        <v>100</v>
      </c>
      <c r="P561" s="2" t="s">
        <v>100</v>
      </c>
      <c r="Q561" s="2" t="s">
        <v>100</v>
      </c>
      <c r="R561" s="2" t="s">
        <v>100</v>
      </c>
      <c r="S561" s="2" t="s">
        <v>100</v>
      </c>
      <c r="T561" s="2" t="s">
        <v>100</v>
      </c>
      <c r="U561" s="2" t="s">
        <v>100</v>
      </c>
      <c r="V561" s="2" t="s">
        <v>100</v>
      </c>
      <c r="W561" s="2" t="s">
        <v>100</v>
      </c>
      <c r="X561" s="2" t="s">
        <v>100</v>
      </c>
    </row>
    <row r="562" spans="3:24" x14ac:dyDescent="0.35">
      <c r="C562" s="2" t="s">
        <v>50</v>
      </c>
      <c r="D562" s="3">
        <v>42794</v>
      </c>
      <c r="E562" s="2" t="s">
        <v>100</v>
      </c>
      <c r="F562" s="2" t="s">
        <v>100</v>
      </c>
      <c r="G562" s="2" t="s">
        <v>100</v>
      </c>
      <c r="H562" s="2" t="s">
        <v>100</v>
      </c>
      <c r="I562" s="2" t="s">
        <v>100</v>
      </c>
      <c r="J562" s="2" t="s">
        <v>100</v>
      </c>
      <c r="K562" s="2" t="s">
        <v>100</v>
      </c>
      <c r="L562" s="2" t="s">
        <v>100</v>
      </c>
      <c r="M562" s="2" t="s">
        <v>100</v>
      </c>
      <c r="N562" s="2" t="s">
        <v>100</v>
      </c>
      <c r="O562" s="2" t="s">
        <v>100</v>
      </c>
      <c r="P562" s="2" t="s">
        <v>100</v>
      </c>
      <c r="Q562" s="2" t="s">
        <v>100</v>
      </c>
      <c r="R562" s="2" t="s">
        <v>100</v>
      </c>
      <c r="S562" s="2" t="s">
        <v>100</v>
      </c>
      <c r="T562" s="2" t="s">
        <v>100</v>
      </c>
      <c r="U562" s="2" t="s">
        <v>100</v>
      </c>
      <c r="V562" s="2" t="s">
        <v>100</v>
      </c>
      <c r="W562" s="2" t="s">
        <v>100</v>
      </c>
      <c r="X562" s="2" t="s">
        <v>100</v>
      </c>
    </row>
    <row r="563" spans="3:24" x14ac:dyDescent="0.35">
      <c r="C563" s="2" t="s">
        <v>50</v>
      </c>
      <c r="D563" s="3">
        <v>42429</v>
      </c>
      <c r="E563" s="2" t="s">
        <v>100</v>
      </c>
      <c r="F563" s="2" t="s">
        <v>100</v>
      </c>
      <c r="G563" s="2" t="s">
        <v>100</v>
      </c>
      <c r="H563" s="2" t="s">
        <v>100</v>
      </c>
      <c r="I563" s="2" t="s">
        <v>100</v>
      </c>
      <c r="J563" s="2" t="s">
        <v>100</v>
      </c>
      <c r="K563" s="2" t="s">
        <v>100</v>
      </c>
      <c r="L563" s="2" t="s">
        <v>100</v>
      </c>
      <c r="M563" s="2" t="s">
        <v>100</v>
      </c>
      <c r="N563" s="2" t="s">
        <v>100</v>
      </c>
      <c r="O563" s="2" t="s">
        <v>100</v>
      </c>
      <c r="P563" s="2" t="s">
        <v>100</v>
      </c>
      <c r="Q563" s="2" t="s">
        <v>100</v>
      </c>
      <c r="R563" s="2" t="s">
        <v>100</v>
      </c>
      <c r="S563" s="2" t="s">
        <v>100</v>
      </c>
      <c r="T563" s="2" t="s">
        <v>100</v>
      </c>
      <c r="U563" s="2" t="s">
        <v>100</v>
      </c>
      <c r="V563" s="2" t="s">
        <v>100</v>
      </c>
      <c r="W563" s="2" t="s">
        <v>100</v>
      </c>
      <c r="X563" s="2" t="s">
        <v>100</v>
      </c>
    </row>
    <row r="564" spans="3:24" x14ac:dyDescent="0.35">
      <c r="C564" s="2" t="s">
        <v>51</v>
      </c>
      <c r="D564" s="3">
        <v>46022</v>
      </c>
      <c r="E564">
        <v>71.2222790129766</v>
      </c>
      <c r="F564">
        <v>87.893954056416604</v>
      </c>
      <c r="G564">
        <v>90.392071759259196</v>
      </c>
      <c r="H564">
        <v>82.6393415397784</v>
      </c>
      <c r="I564">
        <v>25900000</v>
      </c>
      <c r="J564">
        <v>73.3333333333333</v>
      </c>
      <c r="K564">
        <v>10</v>
      </c>
      <c r="L564" t="b">
        <v>1</v>
      </c>
      <c r="M564">
        <v>924991000</v>
      </c>
      <c r="N564" s="2" t="s">
        <v>100</v>
      </c>
      <c r="O564" t="b">
        <v>1</v>
      </c>
      <c r="P564">
        <v>4212357.5999999996</v>
      </c>
      <c r="Q564">
        <v>69.909916611739803</v>
      </c>
      <c r="R564" t="b">
        <v>0</v>
      </c>
      <c r="S564">
        <v>57.142857142857103</v>
      </c>
      <c r="T564">
        <v>1.1499999999999999</v>
      </c>
      <c r="U564" s="2" t="s">
        <v>100</v>
      </c>
      <c r="V564" t="b">
        <v>1</v>
      </c>
      <c r="W564" t="b">
        <v>1</v>
      </c>
      <c r="X564">
        <v>55.863192182410401</v>
      </c>
    </row>
    <row r="565" spans="3:24" x14ac:dyDescent="0.35">
      <c r="C565" s="2" t="s">
        <v>51</v>
      </c>
      <c r="D565" s="3">
        <v>45657</v>
      </c>
      <c r="E565">
        <v>69.161695427493598</v>
      </c>
      <c r="F565">
        <v>88.039749581485097</v>
      </c>
      <c r="G565">
        <v>79.812565833807597</v>
      </c>
      <c r="H565">
        <v>79.374768617894702</v>
      </c>
      <c r="I565">
        <v>25400000</v>
      </c>
      <c r="J565">
        <v>73.3333333333333</v>
      </c>
      <c r="K565">
        <v>14</v>
      </c>
      <c r="L565" t="b">
        <v>1</v>
      </c>
      <c r="M565">
        <v>979873000</v>
      </c>
      <c r="N565" s="2" t="s">
        <v>100</v>
      </c>
      <c r="O565" t="b">
        <v>1</v>
      </c>
      <c r="P565">
        <v>1516915.4</v>
      </c>
      <c r="Q565">
        <v>70.2374273937494</v>
      </c>
      <c r="R565" t="b">
        <v>0</v>
      </c>
      <c r="S565">
        <v>57.068062827225098</v>
      </c>
      <c r="T565">
        <v>1.1499999999999999</v>
      </c>
      <c r="U565" s="2" t="s">
        <v>100</v>
      </c>
      <c r="V565" t="b">
        <v>1</v>
      </c>
      <c r="W565" t="b">
        <v>1</v>
      </c>
      <c r="X565">
        <v>56.574675324675297</v>
      </c>
    </row>
    <row r="566" spans="3:24" x14ac:dyDescent="0.35">
      <c r="C566" s="2" t="s">
        <v>51</v>
      </c>
      <c r="D566" s="3">
        <v>45291</v>
      </c>
      <c r="E566">
        <v>72.942594029633497</v>
      </c>
      <c r="F566">
        <v>89.146532442665801</v>
      </c>
      <c r="G566">
        <v>82.490831598770896</v>
      </c>
      <c r="H566">
        <v>81.808684881324197</v>
      </c>
      <c r="I566">
        <v>26100000</v>
      </c>
      <c r="J566">
        <v>78.571428571428498</v>
      </c>
      <c r="K566">
        <v>13</v>
      </c>
      <c r="L566" t="b">
        <v>1</v>
      </c>
      <c r="M566">
        <v>983737000</v>
      </c>
      <c r="N566" s="2" t="s">
        <v>100</v>
      </c>
      <c r="O566" t="b">
        <v>1</v>
      </c>
      <c r="P566">
        <v>1507809.6</v>
      </c>
      <c r="Q566">
        <v>71.154811864450707</v>
      </c>
      <c r="R566" t="b">
        <v>0</v>
      </c>
      <c r="S566">
        <v>58.899082568807302</v>
      </c>
      <c r="T566">
        <v>1.1499999999999999</v>
      </c>
      <c r="U566" s="2" t="s">
        <v>100</v>
      </c>
      <c r="V566" t="b">
        <v>1</v>
      </c>
      <c r="W566" t="b">
        <v>1</v>
      </c>
      <c r="X566">
        <v>59.380234505862603</v>
      </c>
    </row>
    <row r="567" spans="3:24" x14ac:dyDescent="0.35">
      <c r="C567" s="2" t="s">
        <v>51</v>
      </c>
      <c r="D567" s="3">
        <v>44926</v>
      </c>
      <c r="E567">
        <v>77.4825438685628</v>
      </c>
      <c r="F567">
        <v>90.343559338773105</v>
      </c>
      <c r="G567">
        <v>82.4385948448448</v>
      </c>
      <c r="H567">
        <v>83.875570798225596</v>
      </c>
      <c r="I567">
        <v>26100000</v>
      </c>
      <c r="J567">
        <v>66.6666666666666</v>
      </c>
      <c r="K567">
        <v>10</v>
      </c>
      <c r="L567" t="b">
        <v>1</v>
      </c>
      <c r="M567">
        <v>978879000</v>
      </c>
      <c r="N567" s="2" t="s">
        <v>100</v>
      </c>
      <c r="O567" t="b">
        <v>1</v>
      </c>
      <c r="P567">
        <v>1235038</v>
      </c>
      <c r="Q567">
        <v>73.521960578472303</v>
      </c>
      <c r="R567" t="b">
        <v>0</v>
      </c>
      <c r="S567">
        <v>61.862745098039198</v>
      </c>
      <c r="T567">
        <v>1.25</v>
      </c>
      <c r="U567" s="2" t="s">
        <v>100</v>
      </c>
      <c r="V567" t="b">
        <v>1</v>
      </c>
      <c r="W567" t="b">
        <v>1</v>
      </c>
      <c r="X567">
        <v>62.155172413793103</v>
      </c>
    </row>
    <row r="568" spans="3:24" x14ac:dyDescent="0.35">
      <c r="C568" s="2" t="s">
        <v>51</v>
      </c>
      <c r="D568" s="3">
        <v>44561</v>
      </c>
      <c r="E568">
        <v>84.5222323837191</v>
      </c>
      <c r="F568">
        <v>91.556875134252095</v>
      </c>
      <c r="G568">
        <v>72.834952958217798</v>
      </c>
      <c r="H568">
        <v>84.483363781832296</v>
      </c>
      <c r="I568">
        <v>26000000</v>
      </c>
      <c r="J568">
        <v>69.230769230769198</v>
      </c>
      <c r="K568">
        <v>11</v>
      </c>
      <c r="L568" t="b">
        <v>1</v>
      </c>
      <c r="M568">
        <v>1005643000</v>
      </c>
      <c r="N568" s="2" t="s">
        <v>100</v>
      </c>
      <c r="O568" t="b">
        <v>1</v>
      </c>
      <c r="P568">
        <v>871449.3</v>
      </c>
      <c r="Q568">
        <v>75.621147307915805</v>
      </c>
      <c r="R568" t="b">
        <v>0</v>
      </c>
      <c r="S568">
        <v>64.251207729468604</v>
      </c>
      <c r="T568">
        <v>1.25</v>
      </c>
      <c r="U568">
        <v>71</v>
      </c>
      <c r="V568" t="b">
        <v>1</v>
      </c>
      <c r="W568" t="b">
        <v>1</v>
      </c>
      <c r="X568">
        <v>63.253012048192701</v>
      </c>
    </row>
    <row r="569" spans="3:24" x14ac:dyDescent="0.35">
      <c r="C569" s="2" t="s">
        <v>51</v>
      </c>
      <c r="D569" s="3">
        <v>44196</v>
      </c>
      <c r="E569">
        <v>83.938876780747194</v>
      </c>
      <c r="F569">
        <v>92.908353278226997</v>
      </c>
      <c r="G569">
        <v>84.779405779405707</v>
      </c>
      <c r="H569">
        <v>87.755098863305307</v>
      </c>
      <c r="I569">
        <v>26500000</v>
      </c>
      <c r="J569">
        <v>75</v>
      </c>
      <c r="K569">
        <v>12</v>
      </c>
      <c r="L569" t="b">
        <v>1</v>
      </c>
      <c r="M569">
        <v>987639000</v>
      </c>
      <c r="N569" s="2" t="s">
        <v>100</v>
      </c>
      <c r="O569" t="b">
        <v>1</v>
      </c>
      <c r="P569">
        <v>612803.30000000005</v>
      </c>
      <c r="Q569">
        <v>78.200069035947806</v>
      </c>
      <c r="R569" t="b">
        <v>0</v>
      </c>
      <c r="S569">
        <v>66.071428571428498</v>
      </c>
      <c r="T569">
        <v>1.1000000000000001</v>
      </c>
      <c r="U569">
        <v>73</v>
      </c>
      <c r="V569" t="b">
        <v>1</v>
      </c>
      <c r="W569" t="b">
        <v>1</v>
      </c>
      <c r="X569">
        <v>64.013452914798194</v>
      </c>
    </row>
    <row r="570" spans="3:24" x14ac:dyDescent="0.35">
      <c r="C570" s="2" t="s">
        <v>51</v>
      </c>
      <c r="D570" s="3">
        <v>43830</v>
      </c>
      <c r="E570">
        <v>84.740259123734106</v>
      </c>
      <c r="F570">
        <v>92.703172510080094</v>
      </c>
      <c r="G570">
        <v>80.521912350597603</v>
      </c>
      <c r="H570">
        <v>86.909095453621603</v>
      </c>
      <c r="I570">
        <v>26400000</v>
      </c>
      <c r="J570">
        <v>72.727272727272705</v>
      </c>
      <c r="K570">
        <v>9</v>
      </c>
      <c r="L570" t="b">
        <v>1</v>
      </c>
      <c r="M570">
        <v>905614000</v>
      </c>
      <c r="N570" s="2" t="s">
        <v>100</v>
      </c>
      <c r="O570" t="b">
        <v>1</v>
      </c>
      <c r="P570">
        <v>1177600</v>
      </c>
      <c r="Q570">
        <v>80.269779293880703</v>
      </c>
      <c r="R570" t="b">
        <v>0</v>
      </c>
      <c r="S570">
        <v>64.465408805031402</v>
      </c>
      <c r="T570">
        <v>1.35</v>
      </c>
      <c r="U570" s="2" t="s">
        <v>100</v>
      </c>
      <c r="V570" t="b">
        <v>1</v>
      </c>
      <c r="W570" t="b">
        <v>1</v>
      </c>
      <c r="X570">
        <v>66.460396039603907</v>
      </c>
    </row>
    <row r="571" spans="3:24" x14ac:dyDescent="0.35">
      <c r="C571" s="2" t="s">
        <v>51</v>
      </c>
      <c r="D571" s="3">
        <v>43465</v>
      </c>
      <c r="E571">
        <v>78.296828928379099</v>
      </c>
      <c r="F571">
        <v>93.559964426349794</v>
      </c>
      <c r="G571">
        <v>74.846552895325004</v>
      </c>
      <c r="H571">
        <v>83.592293165693803</v>
      </c>
      <c r="I571">
        <v>28800000</v>
      </c>
      <c r="J571">
        <v>69.230769230769198</v>
      </c>
      <c r="K571">
        <v>10</v>
      </c>
      <c r="L571" t="b">
        <v>1</v>
      </c>
      <c r="M571">
        <v>886274000</v>
      </c>
      <c r="N571" s="2" t="s">
        <v>100</v>
      </c>
      <c r="O571" t="b">
        <v>1</v>
      </c>
      <c r="P571" s="2" t="s">
        <v>100</v>
      </c>
      <c r="Q571">
        <v>82.220517481419506</v>
      </c>
      <c r="R571" s="2" t="s">
        <v>100</v>
      </c>
      <c r="S571">
        <v>68.129770992366403</v>
      </c>
      <c r="T571">
        <v>1.35</v>
      </c>
      <c r="U571" s="2" t="s">
        <v>100</v>
      </c>
      <c r="V571" t="b">
        <v>1</v>
      </c>
      <c r="W571" t="b">
        <v>1</v>
      </c>
      <c r="X571">
        <v>68.534482758620598</v>
      </c>
    </row>
    <row r="572" spans="3:24" x14ac:dyDescent="0.35">
      <c r="C572" s="2" t="s">
        <v>51</v>
      </c>
      <c r="D572" s="3">
        <v>43100</v>
      </c>
      <c r="E572">
        <v>80.235813670398699</v>
      </c>
      <c r="F572">
        <v>90.557779093391105</v>
      </c>
      <c r="G572">
        <v>85.937919910828299</v>
      </c>
      <c r="H572">
        <v>85.790191464477999</v>
      </c>
      <c r="I572">
        <v>31000000</v>
      </c>
      <c r="J572">
        <v>78.571428571428498</v>
      </c>
      <c r="K572">
        <v>11</v>
      </c>
      <c r="L572" t="b">
        <v>1</v>
      </c>
      <c r="M572">
        <v>1188331000</v>
      </c>
      <c r="N572" s="2" t="s">
        <v>100</v>
      </c>
      <c r="O572" t="b">
        <v>1</v>
      </c>
      <c r="P572" s="2" t="s">
        <v>100</v>
      </c>
      <c r="Q572">
        <v>85.960763534790999</v>
      </c>
      <c r="R572" s="2" t="s">
        <v>100</v>
      </c>
      <c r="S572">
        <v>69.6202531645569</v>
      </c>
      <c r="T572">
        <v>1.25</v>
      </c>
      <c r="U572" s="2" t="s">
        <v>100</v>
      </c>
      <c r="V572" t="b">
        <v>1</v>
      </c>
      <c r="W572" t="b">
        <v>1</v>
      </c>
      <c r="X572">
        <v>73.192771084337295</v>
      </c>
    </row>
    <row r="573" spans="3:24" x14ac:dyDescent="0.35">
      <c r="C573" s="2" t="s">
        <v>51</v>
      </c>
      <c r="D573" s="3">
        <v>42735</v>
      </c>
      <c r="E573">
        <v>77.863343248765403</v>
      </c>
      <c r="F573">
        <v>80.677807609363995</v>
      </c>
      <c r="G573">
        <v>81.509493845559405</v>
      </c>
      <c r="H573">
        <v>79.8914115895561</v>
      </c>
      <c r="I573">
        <v>32500000</v>
      </c>
      <c r="J573">
        <v>76.923076923076906</v>
      </c>
      <c r="K573">
        <v>11</v>
      </c>
      <c r="L573" t="b">
        <v>1</v>
      </c>
      <c r="M573">
        <v>1727534000</v>
      </c>
      <c r="N573" s="2" t="s">
        <v>100</v>
      </c>
      <c r="O573" t="b">
        <v>1</v>
      </c>
      <c r="P573" s="2" t="s">
        <v>100</v>
      </c>
      <c r="Q573">
        <v>86.761782529177495</v>
      </c>
      <c r="R573" s="2" t="s">
        <v>100</v>
      </c>
      <c r="S573">
        <v>72.330097087378604</v>
      </c>
      <c r="T573">
        <v>1.3</v>
      </c>
      <c r="U573" s="2" t="s">
        <v>100</v>
      </c>
      <c r="V573" t="b">
        <v>1</v>
      </c>
      <c r="W573" t="b">
        <v>1</v>
      </c>
      <c r="X573">
        <v>75.081433224755699</v>
      </c>
    </row>
    <row r="574" spans="3:24" x14ac:dyDescent="0.35">
      <c r="C574" s="2" t="s">
        <v>52</v>
      </c>
      <c r="D574" s="3">
        <v>45657</v>
      </c>
      <c r="E574">
        <v>60.2609630707965</v>
      </c>
      <c r="F574">
        <v>53.222983077054103</v>
      </c>
      <c r="G574">
        <v>80.953854180978297</v>
      </c>
      <c r="H574">
        <v>65.253728851122901</v>
      </c>
      <c r="I574">
        <v>820.32</v>
      </c>
      <c r="J574">
        <v>76.923076923076906</v>
      </c>
      <c r="K574">
        <v>11</v>
      </c>
      <c r="L574" t="b">
        <v>1</v>
      </c>
      <c r="M574" s="2" t="s">
        <v>100</v>
      </c>
      <c r="N574" s="2" t="s">
        <v>100</v>
      </c>
      <c r="O574" t="b">
        <v>1</v>
      </c>
      <c r="P574" s="2" t="s">
        <v>100</v>
      </c>
      <c r="Q574">
        <v>70.2374273937494</v>
      </c>
      <c r="R574" t="b">
        <v>0</v>
      </c>
      <c r="S574">
        <v>31.395348837209301</v>
      </c>
      <c r="T574" s="2" t="s">
        <v>100</v>
      </c>
      <c r="U574">
        <v>85</v>
      </c>
      <c r="V574" t="b">
        <v>1</v>
      </c>
      <c r="W574" t="b">
        <v>1</v>
      </c>
      <c r="X574">
        <v>50.980392156862699</v>
      </c>
    </row>
    <row r="575" spans="3:24" x14ac:dyDescent="0.35">
      <c r="C575" s="2" t="s">
        <v>52</v>
      </c>
      <c r="D575" s="3">
        <v>45291</v>
      </c>
      <c r="E575">
        <v>45.695237032905702</v>
      </c>
      <c r="F575">
        <v>47.715682100279899</v>
      </c>
      <c r="G575">
        <v>80.068751745825693</v>
      </c>
      <c r="H575">
        <v>60.3875172828484</v>
      </c>
      <c r="I575">
        <v>831.85</v>
      </c>
      <c r="J575">
        <v>81.818181818181799</v>
      </c>
      <c r="K575">
        <v>11</v>
      </c>
      <c r="L575" t="b">
        <v>1</v>
      </c>
      <c r="M575" s="2" t="s">
        <v>100</v>
      </c>
      <c r="N575" s="2" t="s">
        <v>100</v>
      </c>
      <c r="O575" t="b">
        <v>1</v>
      </c>
      <c r="P575" s="2" t="s">
        <v>100</v>
      </c>
      <c r="Q575">
        <v>71.154811864450707</v>
      </c>
      <c r="R575" t="b">
        <v>0</v>
      </c>
      <c r="S575">
        <v>33.163265306122398</v>
      </c>
      <c r="T575" s="2" t="s">
        <v>100</v>
      </c>
      <c r="U575">
        <v>86</v>
      </c>
      <c r="V575" t="b">
        <v>1</v>
      </c>
      <c r="W575" t="b">
        <v>1</v>
      </c>
      <c r="X575">
        <v>51.650165016501603</v>
      </c>
    </row>
    <row r="576" spans="3:24" x14ac:dyDescent="0.35">
      <c r="C576" s="2" t="s">
        <v>52</v>
      </c>
      <c r="D576" s="3">
        <v>44926</v>
      </c>
      <c r="E576">
        <v>50.5954019489266</v>
      </c>
      <c r="F576">
        <v>47.705852848051599</v>
      </c>
      <c r="G576">
        <v>90.130036286286199</v>
      </c>
      <c r="H576">
        <v>65.060799436795506</v>
      </c>
      <c r="I576">
        <v>1012.01</v>
      </c>
      <c r="J576">
        <v>83.3333333333333</v>
      </c>
      <c r="K576">
        <v>10</v>
      </c>
      <c r="L576" t="b">
        <v>1</v>
      </c>
      <c r="M576" s="2" t="s">
        <v>100</v>
      </c>
      <c r="N576" s="2" t="s">
        <v>100</v>
      </c>
      <c r="O576" t="b">
        <v>1</v>
      </c>
      <c r="P576" s="2" t="s">
        <v>100</v>
      </c>
      <c r="Q576">
        <v>73.521960578472303</v>
      </c>
      <c r="R576" t="b">
        <v>0</v>
      </c>
      <c r="S576">
        <v>32.8231292517006</v>
      </c>
      <c r="T576" s="2" t="s">
        <v>100</v>
      </c>
      <c r="U576">
        <v>85</v>
      </c>
      <c r="V576" t="b">
        <v>1</v>
      </c>
      <c r="W576" t="b">
        <v>1</v>
      </c>
      <c r="X576">
        <v>52.741935483870897</v>
      </c>
    </row>
    <row r="577" spans="3:24" x14ac:dyDescent="0.35">
      <c r="C577" s="2" t="s">
        <v>52</v>
      </c>
      <c r="D577" s="3">
        <v>44561</v>
      </c>
      <c r="E577">
        <v>45.656490527918699</v>
      </c>
      <c r="F577">
        <v>40.071198619597403</v>
      </c>
      <c r="G577">
        <v>90.883715152282207</v>
      </c>
      <c r="H577">
        <v>61.140910820447601</v>
      </c>
      <c r="I577">
        <v>1244.32</v>
      </c>
      <c r="J577">
        <v>76.923076923076906</v>
      </c>
      <c r="K577">
        <v>10</v>
      </c>
      <c r="L577" t="b">
        <v>1</v>
      </c>
      <c r="M577" s="2" t="s">
        <v>100</v>
      </c>
      <c r="N577" s="2" t="s">
        <v>100</v>
      </c>
      <c r="O577" t="b">
        <v>1</v>
      </c>
      <c r="P577" s="2" t="s">
        <v>100</v>
      </c>
      <c r="Q577">
        <v>75.621147307915805</v>
      </c>
      <c r="R577" s="2" t="s">
        <v>100</v>
      </c>
      <c r="S577">
        <v>33.3333333333333</v>
      </c>
      <c r="T577" s="2" t="s">
        <v>100</v>
      </c>
      <c r="U577">
        <v>86</v>
      </c>
      <c r="V577" t="b">
        <v>1</v>
      </c>
      <c r="W577" t="b">
        <v>1</v>
      </c>
      <c r="X577">
        <v>54.266211604095503</v>
      </c>
    </row>
    <row r="578" spans="3:24" x14ac:dyDescent="0.35">
      <c r="C578" s="2" t="s">
        <v>52</v>
      </c>
      <c r="D578" s="3">
        <v>44196</v>
      </c>
      <c r="E578">
        <v>22.0845597405836</v>
      </c>
      <c r="F578">
        <v>35.421105398559902</v>
      </c>
      <c r="G578">
        <v>84.870573870573807</v>
      </c>
      <c r="H578">
        <v>53.422686699635399</v>
      </c>
      <c r="I578">
        <v>1442.38</v>
      </c>
      <c r="J578">
        <v>72.727272727272705</v>
      </c>
      <c r="K578">
        <v>11</v>
      </c>
      <c r="L578" t="b">
        <v>1</v>
      </c>
      <c r="M578" s="2" t="s">
        <v>100</v>
      </c>
      <c r="N578" s="2" t="s">
        <v>100</v>
      </c>
      <c r="O578" t="b">
        <v>1</v>
      </c>
      <c r="P578" s="2" t="s">
        <v>100</v>
      </c>
      <c r="Q578">
        <v>78.200069035947806</v>
      </c>
      <c r="R578" s="2" t="s">
        <v>100</v>
      </c>
      <c r="S578">
        <v>34.322033898305101</v>
      </c>
      <c r="T578" s="2" t="s">
        <v>100</v>
      </c>
      <c r="U578">
        <v>70</v>
      </c>
      <c r="V578" t="b">
        <v>0</v>
      </c>
      <c r="W578" t="b">
        <v>1</v>
      </c>
      <c r="X578">
        <v>54.1015625</v>
      </c>
    </row>
    <row r="579" spans="3:24" x14ac:dyDescent="0.35">
      <c r="C579" s="2" t="s">
        <v>52</v>
      </c>
      <c r="D579" s="3">
        <v>43830</v>
      </c>
      <c r="E579">
        <v>32.441591195689497</v>
      </c>
      <c r="F579">
        <v>33.178920894237699</v>
      </c>
      <c r="G579">
        <v>85.192447600900707</v>
      </c>
      <c r="H579">
        <v>51.656512753708597</v>
      </c>
      <c r="I579">
        <v>1693.61</v>
      </c>
      <c r="J579">
        <v>71.428571428571402</v>
      </c>
      <c r="K579">
        <v>11</v>
      </c>
      <c r="L579" t="b">
        <v>0</v>
      </c>
      <c r="M579" s="2" t="s">
        <v>100</v>
      </c>
      <c r="N579" s="2" t="s">
        <v>100</v>
      </c>
      <c r="O579" t="b">
        <v>1</v>
      </c>
      <c r="P579" s="2" t="s">
        <v>100</v>
      </c>
      <c r="Q579">
        <v>80.269779293880703</v>
      </c>
      <c r="R579" s="2" t="s">
        <v>100</v>
      </c>
      <c r="S579">
        <v>35.683760683760603</v>
      </c>
      <c r="T579" s="2" t="s">
        <v>100</v>
      </c>
      <c r="U579" s="2" t="s">
        <v>100</v>
      </c>
      <c r="V579" t="b">
        <v>0</v>
      </c>
      <c r="W579" t="b">
        <v>1</v>
      </c>
      <c r="X579">
        <v>52.459016393442603</v>
      </c>
    </row>
    <row r="580" spans="3:24" x14ac:dyDescent="0.35">
      <c r="C580" s="2" t="s">
        <v>52</v>
      </c>
      <c r="D580" s="3">
        <v>43465</v>
      </c>
      <c r="E580">
        <v>34.912838592367798</v>
      </c>
      <c r="F580">
        <v>30.4297583030678</v>
      </c>
      <c r="G580">
        <v>58.347772958244597</v>
      </c>
      <c r="H580">
        <v>39.875073500515597</v>
      </c>
      <c r="I580">
        <v>1077.1400000000001</v>
      </c>
      <c r="J580">
        <v>53.846153846153797</v>
      </c>
      <c r="K580">
        <v>12</v>
      </c>
      <c r="L580" t="b">
        <v>0</v>
      </c>
      <c r="M580" s="2" t="s">
        <v>100</v>
      </c>
      <c r="N580" s="2" t="s">
        <v>100</v>
      </c>
      <c r="O580" t="b">
        <v>1</v>
      </c>
      <c r="P580" s="2" t="s">
        <v>100</v>
      </c>
      <c r="Q580">
        <v>82.220517481419506</v>
      </c>
      <c r="R580" s="2" t="s">
        <v>100</v>
      </c>
      <c r="S580">
        <v>36.842105263157798</v>
      </c>
      <c r="T580" s="2" t="s">
        <v>100</v>
      </c>
      <c r="U580" s="2" t="s">
        <v>100</v>
      </c>
      <c r="V580" t="b">
        <v>0</v>
      </c>
      <c r="W580" t="b">
        <v>1</v>
      </c>
      <c r="X580">
        <v>53.196347031963398</v>
      </c>
    </row>
    <row r="581" spans="3:24" x14ac:dyDescent="0.35">
      <c r="C581" s="2" t="s">
        <v>52</v>
      </c>
      <c r="D581" s="3">
        <v>43100</v>
      </c>
      <c r="E581">
        <v>32.858387673841499</v>
      </c>
      <c r="F581">
        <v>35.596697875767603</v>
      </c>
      <c r="G581">
        <v>45.262142433752899</v>
      </c>
      <c r="H581">
        <v>36.623349067387103</v>
      </c>
      <c r="I581">
        <v>938.01</v>
      </c>
      <c r="J581">
        <v>50</v>
      </c>
      <c r="K581">
        <v>13</v>
      </c>
      <c r="L581" t="b">
        <v>0</v>
      </c>
      <c r="M581" s="2" t="s">
        <v>100</v>
      </c>
      <c r="N581" s="2" t="s">
        <v>100</v>
      </c>
      <c r="O581" t="b">
        <v>1</v>
      </c>
      <c r="P581" s="2" t="s">
        <v>100</v>
      </c>
      <c r="Q581">
        <v>85.960763534790999</v>
      </c>
      <c r="R581" s="2" t="s">
        <v>100</v>
      </c>
      <c r="S581">
        <v>37.121212121212103</v>
      </c>
      <c r="T581" s="2" t="s">
        <v>100</v>
      </c>
      <c r="U581" s="2" t="s">
        <v>100</v>
      </c>
      <c r="V581" t="b">
        <v>0</v>
      </c>
      <c r="W581" t="b">
        <v>1</v>
      </c>
      <c r="X581">
        <v>54.883720930232499</v>
      </c>
    </row>
    <row r="582" spans="3:24" x14ac:dyDescent="0.35">
      <c r="C582" s="2" t="s">
        <v>52</v>
      </c>
      <c r="D582" s="3">
        <v>42735</v>
      </c>
      <c r="E582">
        <v>35.913696513087899</v>
      </c>
      <c r="F582">
        <v>35.173710682986403</v>
      </c>
      <c r="G582">
        <v>37.981867858916999</v>
      </c>
      <c r="H582">
        <v>33.676426508045502</v>
      </c>
      <c r="I582">
        <v>1108.52</v>
      </c>
      <c r="J582">
        <v>56.25</v>
      </c>
      <c r="K582">
        <v>14</v>
      </c>
      <c r="L582" t="b">
        <v>0</v>
      </c>
      <c r="M582" s="2" t="s">
        <v>100</v>
      </c>
      <c r="N582" s="2" t="s">
        <v>100</v>
      </c>
      <c r="O582" t="b">
        <v>1</v>
      </c>
      <c r="P582" s="2" t="s">
        <v>100</v>
      </c>
      <c r="Q582">
        <v>86.761782529177495</v>
      </c>
      <c r="R582" s="2" t="s">
        <v>100</v>
      </c>
      <c r="S582">
        <v>38.031914893617</v>
      </c>
      <c r="T582" s="2" t="s">
        <v>100</v>
      </c>
      <c r="U582" s="2" t="s">
        <v>100</v>
      </c>
      <c r="V582" t="b">
        <v>0</v>
      </c>
      <c r="W582" t="b">
        <v>1</v>
      </c>
      <c r="X582">
        <v>55.097087378640701</v>
      </c>
    </row>
    <row r="583" spans="3:24" x14ac:dyDescent="0.35">
      <c r="C583" s="2" t="s">
        <v>52</v>
      </c>
      <c r="D583" s="3">
        <v>42369</v>
      </c>
      <c r="E583">
        <v>28.843252992293799</v>
      </c>
      <c r="F583">
        <v>24.0584352714014</v>
      </c>
      <c r="G583">
        <v>38.679959687014403</v>
      </c>
      <c r="H583">
        <v>27.901745879964501</v>
      </c>
      <c r="I583" s="2" t="s">
        <v>100</v>
      </c>
      <c r="J583">
        <v>53.846153846153797</v>
      </c>
      <c r="K583">
        <v>12</v>
      </c>
      <c r="L583" t="b">
        <v>0</v>
      </c>
      <c r="M583" s="2" t="s">
        <v>100</v>
      </c>
      <c r="N583" s="2" t="s">
        <v>100</v>
      </c>
      <c r="O583" t="b">
        <v>1</v>
      </c>
      <c r="P583" s="2" t="s">
        <v>100</v>
      </c>
      <c r="Q583">
        <v>18.9460637435099</v>
      </c>
      <c r="R583" s="2" t="s">
        <v>100</v>
      </c>
      <c r="S583">
        <v>37.748344370860899</v>
      </c>
      <c r="T583" s="2" t="s">
        <v>100</v>
      </c>
      <c r="U583" s="2" t="s">
        <v>100</v>
      </c>
      <c r="V583" t="b">
        <v>0</v>
      </c>
      <c r="W583" t="b">
        <v>1</v>
      </c>
      <c r="X583">
        <v>58.045977011494202</v>
      </c>
    </row>
    <row r="584" spans="3:24" x14ac:dyDescent="0.35">
      <c r="C584" s="2" t="s">
        <v>53</v>
      </c>
      <c r="D584" s="3">
        <v>45682</v>
      </c>
      <c r="E584">
        <v>79.681584407649893</v>
      </c>
      <c r="F584">
        <v>66.197293782949501</v>
      </c>
      <c r="G584">
        <v>58.423565423976598</v>
      </c>
      <c r="H584">
        <v>65.802219424668394</v>
      </c>
      <c r="I584">
        <v>85484</v>
      </c>
      <c r="J584">
        <v>50</v>
      </c>
      <c r="K584">
        <v>12</v>
      </c>
      <c r="L584" t="b">
        <v>1</v>
      </c>
      <c r="M584">
        <v>35594</v>
      </c>
      <c r="N584" s="2" t="s">
        <v>100</v>
      </c>
      <c r="O584" t="b">
        <v>1</v>
      </c>
      <c r="P584" s="2" t="s">
        <v>100</v>
      </c>
      <c r="Q584">
        <v>69.909916611739803</v>
      </c>
      <c r="R584" t="b">
        <v>0</v>
      </c>
      <c r="S584">
        <v>92.960288808664203</v>
      </c>
      <c r="T584" s="2" t="s">
        <v>100</v>
      </c>
      <c r="U584" s="2" t="s">
        <v>100</v>
      </c>
      <c r="V584" t="b">
        <v>1</v>
      </c>
      <c r="W584" t="b">
        <v>1</v>
      </c>
      <c r="X584">
        <v>51.9366197183098</v>
      </c>
    </row>
    <row r="585" spans="3:24" x14ac:dyDescent="0.35">
      <c r="C585" s="2" t="s">
        <v>53</v>
      </c>
      <c r="D585" s="3">
        <v>45318</v>
      </c>
      <c r="E585">
        <v>77.101421779778406</v>
      </c>
      <c r="F585">
        <v>65.495945784469299</v>
      </c>
      <c r="G585">
        <v>69.135189110679306</v>
      </c>
      <c r="H585">
        <v>69.112023738289693</v>
      </c>
      <c r="I585">
        <v>88091</v>
      </c>
      <c r="J585">
        <v>45.454545454545404</v>
      </c>
      <c r="K585">
        <v>11</v>
      </c>
      <c r="L585" t="b">
        <v>1</v>
      </c>
      <c r="M585">
        <v>35108</v>
      </c>
      <c r="N585" s="2" t="s">
        <v>100</v>
      </c>
      <c r="O585" t="b">
        <v>1</v>
      </c>
      <c r="P585" s="2" t="s">
        <v>100</v>
      </c>
      <c r="Q585">
        <v>70.2374273937494</v>
      </c>
      <c r="R585" t="b">
        <v>0</v>
      </c>
      <c r="S585">
        <v>92.753623188405797</v>
      </c>
      <c r="T585" s="2" t="s">
        <v>100</v>
      </c>
      <c r="U585" s="2" t="s">
        <v>100</v>
      </c>
      <c r="V585" t="b">
        <v>1</v>
      </c>
      <c r="W585" t="b">
        <v>1</v>
      </c>
      <c r="X585">
        <v>51.943462897526501</v>
      </c>
    </row>
    <row r="586" spans="3:24" x14ac:dyDescent="0.35">
      <c r="C586" s="2" t="s">
        <v>53</v>
      </c>
      <c r="D586" s="3">
        <v>44954</v>
      </c>
      <c r="E586">
        <v>78.3270399327224</v>
      </c>
      <c r="F586">
        <v>69.795453278884096</v>
      </c>
      <c r="G586">
        <v>76.317411402157106</v>
      </c>
      <c r="H586">
        <v>73.926932557681099</v>
      </c>
      <c r="I586">
        <v>86488</v>
      </c>
      <c r="J586">
        <v>50</v>
      </c>
      <c r="K586">
        <v>10</v>
      </c>
      <c r="L586" t="b">
        <v>1</v>
      </c>
      <c r="M586">
        <v>34013</v>
      </c>
      <c r="N586" s="2" t="s">
        <v>100</v>
      </c>
      <c r="O586" t="b">
        <v>1</v>
      </c>
      <c r="P586" s="2" t="s">
        <v>100</v>
      </c>
      <c r="Q586">
        <v>71.154811864450707</v>
      </c>
      <c r="R586" t="b">
        <v>0</v>
      </c>
      <c r="S586">
        <v>93.122676579925596</v>
      </c>
      <c r="T586" s="2" t="s">
        <v>100</v>
      </c>
      <c r="U586" s="2" t="s">
        <v>100</v>
      </c>
      <c r="V586" t="b">
        <v>1</v>
      </c>
      <c r="W586" t="b">
        <v>1</v>
      </c>
      <c r="X586">
        <v>52.707581227436798</v>
      </c>
    </row>
    <row r="587" spans="3:24" x14ac:dyDescent="0.35">
      <c r="C587" s="2" t="s">
        <v>53</v>
      </c>
      <c r="D587" s="3">
        <v>44590</v>
      </c>
      <c r="E587">
        <v>80.851104434284395</v>
      </c>
      <c r="F587">
        <v>67.615571696132903</v>
      </c>
      <c r="G587">
        <v>76.410535535535502</v>
      </c>
      <c r="H587">
        <v>73.518319435550097</v>
      </c>
      <c r="I587">
        <v>89950</v>
      </c>
      <c r="J587">
        <v>54.545454545454497</v>
      </c>
      <c r="K587">
        <v>10</v>
      </c>
      <c r="L587" t="b">
        <v>1</v>
      </c>
      <c r="M587">
        <v>31634</v>
      </c>
      <c r="N587" s="2" t="s">
        <v>100</v>
      </c>
      <c r="O587" t="b">
        <v>1</v>
      </c>
      <c r="P587" s="2" t="s">
        <v>100</v>
      </c>
      <c r="Q587">
        <v>73.521960578472303</v>
      </c>
      <c r="R587" t="b">
        <v>0</v>
      </c>
      <c r="S587">
        <v>92.829457364341096</v>
      </c>
      <c r="T587" s="2" t="s">
        <v>100</v>
      </c>
      <c r="U587" s="2" t="s">
        <v>100</v>
      </c>
      <c r="V587" t="b">
        <v>1</v>
      </c>
      <c r="W587" t="b">
        <v>1</v>
      </c>
      <c r="X587">
        <v>53.874538745387397</v>
      </c>
    </row>
    <row r="588" spans="3:24" x14ac:dyDescent="0.35">
      <c r="C588" s="2" t="s">
        <v>53</v>
      </c>
      <c r="D588" s="3">
        <v>44226</v>
      </c>
      <c r="E588">
        <v>79.823047735385202</v>
      </c>
      <c r="F588">
        <v>68.504369738591095</v>
      </c>
      <c r="G588">
        <v>66.717286780641999</v>
      </c>
      <c r="H588">
        <v>69.987361413656203</v>
      </c>
      <c r="I588">
        <v>80570</v>
      </c>
      <c r="J588">
        <v>50</v>
      </c>
      <c r="K588">
        <v>10</v>
      </c>
      <c r="L588" t="b">
        <v>1</v>
      </c>
      <c r="M588">
        <v>21753</v>
      </c>
      <c r="N588" s="2" t="s">
        <v>100</v>
      </c>
      <c r="O588" t="b">
        <v>1</v>
      </c>
      <c r="P588" s="2" t="s">
        <v>100</v>
      </c>
      <c r="Q588">
        <v>75.621147307915805</v>
      </c>
      <c r="R588" s="2" t="s">
        <v>100</v>
      </c>
      <c r="S588">
        <v>92.567567567567494</v>
      </c>
      <c r="T588" s="2" t="s">
        <v>100</v>
      </c>
      <c r="U588" s="2" t="s">
        <v>100</v>
      </c>
      <c r="V588" t="b">
        <v>1</v>
      </c>
      <c r="W588" t="b">
        <v>1</v>
      </c>
      <c r="X588">
        <v>56.0416666666666</v>
      </c>
    </row>
    <row r="589" spans="3:24" x14ac:dyDescent="0.35">
      <c r="C589" s="2" t="s">
        <v>53</v>
      </c>
      <c r="D589" s="3">
        <v>43855</v>
      </c>
      <c r="E589">
        <v>84.583247066942704</v>
      </c>
      <c r="F589">
        <v>72.654615365624807</v>
      </c>
      <c r="G589">
        <v>70.174603174603106</v>
      </c>
      <c r="H589">
        <v>73.989029533145398</v>
      </c>
      <c r="I589">
        <v>106179</v>
      </c>
      <c r="J589">
        <v>44.4444444444444</v>
      </c>
      <c r="K589">
        <v>9</v>
      </c>
      <c r="L589" t="b">
        <v>1</v>
      </c>
      <c r="M589">
        <v>30227</v>
      </c>
      <c r="N589" s="2" t="s">
        <v>100</v>
      </c>
      <c r="O589" t="b">
        <v>1</v>
      </c>
      <c r="P589" s="2" t="s">
        <v>100</v>
      </c>
      <c r="Q589">
        <v>78.200069035947806</v>
      </c>
      <c r="R589" s="2" t="s">
        <v>100</v>
      </c>
      <c r="S589">
        <v>92.7083333333333</v>
      </c>
      <c r="T589" s="2" t="s">
        <v>100</v>
      </c>
      <c r="U589" s="2" t="s">
        <v>100</v>
      </c>
      <c r="V589" t="b">
        <v>1</v>
      </c>
      <c r="W589" t="b">
        <v>1</v>
      </c>
      <c r="X589">
        <v>57.674418604651102</v>
      </c>
    </row>
    <row r="590" spans="3:24" x14ac:dyDescent="0.35">
      <c r="C590" s="2" t="s">
        <v>53</v>
      </c>
      <c r="D590" s="3">
        <v>43491</v>
      </c>
      <c r="E590">
        <v>68.319418330498095</v>
      </c>
      <c r="F590">
        <v>68.718684067355795</v>
      </c>
      <c r="G590">
        <v>74.542352329811195</v>
      </c>
      <c r="H590">
        <v>70.872569962940403</v>
      </c>
      <c r="I590">
        <v>117604</v>
      </c>
      <c r="J590">
        <v>45.454545454545404</v>
      </c>
      <c r="K590">
        <v>9</v>
      </c>
      <c r="L590" t="b">
        <v>1</v>
      </c>
      <c r="M590">
        <v>29031</v>
      </c>
      <c r="N590" s="2" t="s">
        <v>100</v>
      </c>
      <c r="O590" t="b">
        <v>1</v>
      </c>
      <c r="P590" s="2" t="s">
        <v>100</v>
      </c>
      <c r="Q590">
        <v>80.269779293880703</v>
      </c>
      <c r="R590" s="2" t="s">
        <v>100</v>
      </c>
      <c r="S590">
        <v>76.612903225806406</v>
      </c>
      <c r="T590" s="2" t="s">
        <v>100</v>
      </c>
      <c r="U590" s="2" t="s">
        <v>100</v>
      </c>
      <c r="V590" t="b">
        <v>1</v>
      </c>
      <c r="W590" t="b">
        <v>1</v>
      </c>
      <c r="X590">
        <v>0</v>
      </c>
    </row>
    <row r="591" spans="3:24" x14ac:dyDescent="0.35">
      <c r="C591" s="2" t="s">
        <v>53</v>
      </c>
      <c r="D591" s="3">
        <v>43127</v>
      </c>
      <c r="E591">
        <v>61.961327699380703</v>
      </c>
      <c r="F591">
        <v>68.0765367965368</v>
      </c>
      <c r="G591">
        <v>86.148623776616503</v>
      </c>
      <c r="H591">
        <v>73.826764110728902</v>
      </c>
      <c r="I591">
        <v>137850</v>
      </c>
      <c r="J591">
        <v>54.545454545454497</v>
      </c>
      <c r="K591">
        <v>9</v>
      </c>
      <c r="L591" t="b">
        <v>1</v>
      </c>
      <c r="M591">
        <v>29521</v>
      </c>
      <c r="N591" s="2" t="s">
        <v>100</v>
      </c>
      <c r="O591" t="b">
        <v>1</v>
      </c>
      <c r="P591" s="2" t="s">
        <v>100</v>
      </c>
      <c r="Q591">
        <v>82.220517481419506</v>
      </c>
      <c r="R591" s="2" t="s">
        <v>100</v>
      </c>
      <c r="S591">
        <v>79.6666666666666</v>
      </c>
      <c r="T591" s="2" t="s">
        <v>100</v>
      </c>
      <c r="U591" s="2" t="s">
        <v>100</v>
      </c>
      <c r="V591" t="b">
        <v>1</v>
      </c>
      <c r="W591" t="b">
        <v>1</v>
      </c>
      <c r="X591">
        <v>0</v>
      </c>
    </row>
    <row r="592" spans="3:24" x14ac:dyDescent="0.35">
      <c r="C592" s="2" t="s">
        <v>53</v>
      </c>
      <c r="D592" s="3">
        <v>42763</v>
      </c>
      <c r="E592">
        <v>62.013647109391698</v>
      </c>
      <c r="F592">
        <v>68.266826923076906</v>
      </c>
      <c r="G592">
        <v>73.879722188767104</v>
      </c>
      <c r="H592">
        <v>69.2190289754015</v>
      </c>
      <c r="I592">
        <v>162485</v>
      </c>
      <c r="J592">
        <v>60</v>
      </c>
      <c r="K592">
        <v>10</v>
      </c>
      <c r="L592" t="b">
        <v>1</v>
      </c>
      <c r="M592">
        <v>30354</v>
      </c>
      <c r="N592" s="2" t="s">
        <v>100</v>
      </c>
      <c r="O592" t="b">
        <v>1</v>
      </c>
      <c r="P592" s="2" t="s">
        <v>100</v>
      </c>
      <c r="Q592">
        <v>85.960763534790999</v>
      </c>
      <c r="R592" s="2" t="s">
        <v>100</v>
      </c>
      <c r="S592">
        <v>81.153846153846104</v>
      </c>
      <c r="T592" s="2" t="s">
        <v>100</v>
      </c>
      <c r="U592" s="2" t="s">
        <v>100</v>
      </c>
      <c r="V592" t="b">
        <v>1</v>
      </c>
      <c r="W592" t="b">
        <v>1</v>
      </c>
      <c r="X592">
        <v>0</v>
      </c>
    </row>
    <row r="593" spans="3:24" x14ac:dyDescent="0.35">
      <c r="C593" s="2" t="s">
        <v>53</v>
      </c>
      <c r="D593" s="3">
        <v>42399</v>
      </c>
      <c r="E593">
        <v>70.857026143790804</v>
      </c>
      <c r="F593">
        <v>67.650741208633903</v>
      </c>
      <c r="G593">
        <v>68.851217088921999</v>
      </c>
      <c r="H593">
        <v>64.659780637936095</v>
      </c>
      <c r="I593">
        <v>173077</v>
      </c>
      <c r="J593">
        <v>54.545454545454497</v>
      </c>
      <c r="K593">
        <v>9</v>
      </c>
      <c r="L593" t="b">
        <v>1</v>
      </c>
      <c r="M593">
        <v>31549</v>
      </c>
      <c r="N593" s="2" t="s">
        <v>100</v>
      </c>
      <c r="O593" t="b">
        <v>1</v>
      </c>
      <c r="P593" s="2" t="s">
        <v>100</v>
      </c>
      <c r="Q593">
        <v>86.761782529177495</v>
      </c>
      <c r="R593" s="2" t="s">
        <v>100</v>
      </c>
      <c r="S593">
        <v>83.1967213114754</v>
      </c>
      <c r="T593" s="2" t="s">
        <v>100</v>
      </c>
      <c r="U593" s="2" t="s">
        <v>100</v>
      </c>
      <c r="V593" t="b">
        <v>1</v>
      </c>
      <c r="W593" t="b">
        <v>1</v>
      </c>
      <c r="X593">
        <v>0</v>
      </c>
    </row>
    <row r="594" spans="3:24" x14ac:dyDescent="0.35">
      <c r="C594" s="2" t="s">
        <v>53</v>
      </c>
      <c r="D594" s="3">
        <v>44227</v>
      </c>
      <c r="E594" s="2" t="s">
        <v>100</v>
      </c>
      <c r="F594" s="2" t="s">
        <v>100</v>
      </c>
      <c r="G594" s="2" t="s">
        <v>100</v>
      </c>
      <c r="H594" s="2" t="s">
        <v>100</v>
      </c>
      <c r="I594" s="2" t="s">
        <v>100</v>
      </c>
      <c r="J594" s="2" t="s">
        <v>100</v>
      </c>
      <c r="K594" s="2" t="s">
        <v>100</v>
      </c>
      <c r="L594" s="2" t="s">
        <v>100</v>
      </c>
      <c r="M594" s="2" t="s">
        <v>100</v>
      </c>
      <c r="N594" s="2" t="s">
        <v>100</v>
      </c>
      <c r="O594" s="2" t="s">
        <v>100</v>
      </c>
      <c r="P594" s="2" t="s">
        <v>100</v>
      </c>
      <c r="Q594" s="2" t="s">
        <v>100</v>
      </c>
      <c r="R594" s="2" t="s">
        <v>100</v>
      </c>
      <c r="S594" s="2" t="s">
        <v>100</v>
      </c>
      <c r="T594" s="2" t="s">
        <v>100</v>
      </c>
      <c r="U594" s="2" t="s">
        <v>100</v>
      </c>
      <c r="V594" s="2" t="s">
        <v>100</v>
      </c>
      <c r="W594" s="2" t="s">
        <v>100</v>
      </c>
      <c r="X594" s="2" t="s">
        <v>100</v>
      </c>
    </row>
    <row r="595" spans="3:24" x14ac:dyDescent="0.35">
      <c r="C595" s="2" t="s">
        <v>53</v>
      </c>
      <c r="D595" s="3">
        <v>43861</v>
      </c>
      <c r="E595" s="2" t="s">
        <v>100</v>
      </c>
      <c r="F595" s="2" t="s">
        <v>100</v>
      </c>
      <c r="G595" s="2" t="s">
        <v>100</v>
      </c>
      <c r="H595" s="2" t="s">
        <v>100</v>
      </c>
      <c r="I595" s="2" t="s">
        <v>100</v>
      </c>
      <c r="J595" s="2" t="s">
        <v>100</v>
      </c>
      <c r="K595" s="2" t="s">
        <v>100</v>
      </c>
      <c r="L595" s="2" t="s">
        <v>100</v>
      </c>
      <c r="M595" s="2" t="s">
        <v>100</v>
      </c>
      <c r="N595" s="2" t="s">
        <v>100</v>
      </c>
      <c r="O595" s="2" t="s">
        <v>100</v>
      </c>
      <c r="P595" s="2" t="s">
        <v>100</v>
      </c>
      <c r="Q595" s="2" t="s">
        <v>100</v>
      </c>
      <c r="R595" s="2" t="s">
        <v>100</v>
      </c>
      <c r="S595" s="2" t="s">
        <v>100</v>
      </c>
      <c r="T595" s="2" t="s">
        <v>100</v>
      </c>
      <c r="U595" s="2" t="s">
        <v>100</v>
      </c>
      <c r="V595" s="2" t="s">
        <v>100</v>
      </c>
      <c r="W595" s="2" t="s">
        <v>100</v>
      </c>
      <c r="X595" s="2" t="s">
        <v>100</v>
      </c>
    </row>
    <row r="596" spans="3:24" x14ac:dyDescent="0.35">
      <c r="C596" s="2" t="s">
        <v>53</v>
      </c>
      <c r="D596" s="3">
        <v>43496</v>
      </c>
      <c r="E596" s="2" t="s">
        <v>100</v>
      </c>
      <c r="F596" s="2" t="s">
        <v>100</v>
      </c>
      <c r="G596" s="2" t="s">
        <v>100</v>
      </c>
      <c r="H596" s="2" t="s">
        <v>100</v>
      </c>
      <c r="I596" s="2" t="s">
        <v>100</v>
      </c>
      <c r="J596" s="2" t="s">
        <v>100</v>
      </c>
      <c r="K596" s="2" t="s">
        <v>100</v>
      </c>
      <c r="L596" s="2" t="s">
        <v>100</v>
      </c>
      <c r="M596" s="2" t="s">
        <v>100</v>
      </c>
      <c r="N596" s="2" t="s">
        <v>100</v>
      </c>
      <c r="O596" s="2" t="s">
        <v>100</v>
      </c>
      <c r="P596" s="2" t="s">
        <v>100</v>
      </c>
      <c r="Q596" s="2" t="s">
        <v>100</v>
      </c>
      <c r="R596" s="2" t="s">
        <v>100</v>
      </c>
      <c r="S596" s="2" t="s">
        <v>100</v>
      </c>
      <c r="T596" s="2" t="s">
        <v>100</v>
      </c>
      <c r="U596" s="2" t="s">
        <v>100</v>
      </c>
      <c r="V596" s="2" t="s">
        <v>100</v>
      </c>
      <c r="W596" s="2" t="s">
        <v>100</v>
      </c>
      <c r="X596" s="2" t="s">
        <v>100</v>
      </c>
    </row>
    <row r="597" spans="3:24" x14ac:dyDescent="0.35">
      <c r="C597" s="2" t="s">
        <v>53</v>
      </c>
      <c r="D597" s="3">
        <v>43131</v>
      </c>
      <c r="E597" s="2" t="s">
        <v>100</v>
      </c>
      <c r="F597" s="2" t="s">
        <v>100</v>
      </c>
      <c r="G597" s="2" t="s">
        <v>100</v>
      </c>
      <c r="H597" s="2" t="s">
        <v>100</v>
      </c>
      <c r="I597" s="2" t="s">
        <v>100</v>
      </c>
      <c r="J597" s="2" t="s">
        <v>100</v>
      </c>
      <c r="K597" s="2" t="s">
        <v>100</v>
      </c>
      <c r="L597" s="2" t="s">
        <v>100</v>
      </c>
      <c r="M597" s="2" t="s">
        <v>100</v>
      </c>
      <c r="N597" s="2" t="s">
        <v>100</v>
      </c>
      <c r="O597" s="2" t="s">
        <v>100</v>
      </c>
      <c r="P597" s="2" t="s">
        <v>100</v>
      </c>
      <c r="Q597" s="2" t="s">
        <v>100</v>
      </c>
      <c r="R597" s="2" t="s">
        <v>100</v>
      </c>
      <c r="S597" s="2" t="s">
        <v>100</v>
      </c>
      <c r="T597" s="2" t="s">
        <v>100</v>
      </c>
      <c r="U597" s="2" t="s">
        <v>100</v>
      </c>
      <c r="V597" s="2" t="s">
        <v>100</v>
      </c>
      <c r="W597" s="2" t="s">
        <v>100</v>
      </c>
      <c r="X597" s="2" t="s">
        <v>100</v>
      </c>
    </row>
    <row r="598" spans="3:24" x14ac:dyDescent="0.35">
      <c r="C598" s="2" t="s">
        <v>53</v>
      </c>
      <c r="D598" s="3">
        <v>42766</v>
      </c>
      <c r="E598" s="2" t="s">
        <v>100</v>
      </c>
      <c r="F598" s="2" t="s">
        <v>100</v>
      </c>
      <c r="G598" s="2" t="s">
        <v>100</v>
      </c>
      <c r="H598" s="2" t="s">
        <v>100</v>
      </c>
      <c r="I598" s="2" t="s">
        <v>100</v>
      </c>
      <c r="J598" s="2" t="s">
        <v>100</v>
      </c>
      <c r="K598" s="2" t="s">
        <v>100</v>
      </c>
      <c r="L598" s="2" t="s">
        <v>100</v>
      </c>
      <c r="M598" s="2" t="s">
        <v>100</v>
      </c>
      <c r="N598" s="2" t="s">
        <v>100</v>
      </c>
      <c r="O598" s="2" t="s">
        <v>100</v>
      </c>
      <c r="P598" s="2" t="s">
        <v>100</v>
      </c>
      <c r="Q598" s="2" t="s">
        <v>100</v>
      </c>
      <c r="R598" s="2" t="s">
        <v>100</v>
      </c>
      <c r="S598" s="2" t="s">
        <v>100</v>
      </c>
      <c r="T598" s="2" t="s">
        <v>100</v>
      </c>
      <c r="U598" s="2" t="s">
        <v>100</v>
      </c>
      <c r="V598" s="2" t="s">
        <v>100</v>
      </c>
      <c r="W598" s="2" t="s">
        <v>100</v>
      </c>
      <c r="X598" s="2" t="s">
        <v>100</v>
      </c>
    </row>
    <row r="599" spans="3:24" x14ac:dyDescent="0.35">
      <c r="C599" s="2" t="s">
        <v>53</v>
      </c>
      <c r="D599" s="3">
        <v>42400</v>
      </c>
      <c r="E599" s="2" t="s">
        <v>100</v>
      </c>
      <c r="F599" s="2" t="s">
        <v>100</v>
      </c>
      <c r="G599" s="2" t="s">
        <v>100</v>
      </c>
      <c r="H599" s="2" t="s">
        <v>100</v>
      </c>
      <c r="I599" s="2" t="s">
        <v>100</v>
      </c>
      <c r="J599" s="2" t="s">
        <v>100</v>
      </c>
      <c r="K599" s="2" t="s">
        <v>100</v>
      </c>
      <c r="L599" s="2" t="s">
        <v>100</v>
      </c>
      <c r="M599" s="2" t="s">
        <v>100</v>
      </c>
      <c r="N599" s="2" t="s">
        <v>100</v>
      </c>
      <c r="O599" s="2" t="s">
        <v>100</v>
      </c>
      <c r="P599" s="2" t="s">
        <v>100</v>
      </c>
      <c r="Q599" s="2" t="s">
        <v>100</v>
      </c>
      <c r="R599" s="2" t="s">
        <v>100</v>
      </c>
      <c r="S599" s="2" t="s">
        <v>100</v>
      </c>
      <c r="T599" s="2" t="s">
        <v>100</v>
      </c>
      <c r="U599" s="2" t="s">
        <v>100</v>
      </c>
      <c r="V599" s="2" t="s">
        <v>100</v>
      </c>
      <c r="W599" s="2" t="s">
        <v>100</v>
      </c>
      <c r="X599" s="2" t="s">
        <v>100</v>
      </c>
    </row>
    <row r="600" spans="3:24" x14ac:dyDescent="0.35">
      <c r="C600" s="2" t="s">
        <v>54</v>
      </c>
      <c r="D600" s="3">
        <v>45930</v>
      </c>
      <c r="E600">
        <v>18.996332157334098</v>
      </c>
      <c r="F600">
        <v>51.692046281258001</v>
      </c>
      <c r="G600">
        <v>58.520726730019497</v>
      </c>
      <c r="H600">
        <v>42.462439050260301</v>
      </c>
      <c r="I600">
        <v>8945</v>
      </c>
      <c r="J600">
        <v>70</v>
      </c>
      <c r="K600">
        <v>9</v>
      </c>
      <c r="L600" t="b">
        <v>1</v>
      </c>
      <c r="M600">
        <v>4753</v>
      </c>
      <c r="N600" s="2" t="s">
        <v>100</v>
      </c>
      <c r="O600" t="b">
        <v>1</v>
      </c>
      <c r="P600">
        <v>7429</v>
      </c>
      <c r="Q600">
        <v>69.909916611739803</v>
      </c>
      <c r="R600" t="b">
        <v>0</v>
      </c>
      <c r="S600">
        <v>5.2592592592592498</v>
      </c>
      <c r="T600">
        <v>2.9</v>
      </c>
      <c r="U600">
        <v>78</v>
      </c>
      <c r="V600" t="b">
        <v>1</v>
      </c>
      <c r="W600" t="b">
        <v>1</v>
      </c>
      <c r="X600">
        <v>52.7165932452276</v>
      </c>
    </row>
    <row r="601" spans="3:24" x14ac:dyDescent="0.35">
      <c r="C601" s="2" t="s">
        <v>54</v>
      </c>
      <c r="D601" s="3">
        <v>45565</v>
      </c>
      <c r="E601">
        <v>16.435510133666099</v>
      </c>
      <c r="F601">
        <v>33.645225244412202</v>
      </c>
      <c r="G601">
        <v>59.162193238990596</v>
      </c>
      <c r="H601">
        <v>35.0309147619801</v>
      </c>
      <c r="I601">
        <v>9614</v>
      </c>
      <c r="J601">
        <v>77.7777777777777</v>
      </c>
      <c r="K601">
        <v>8</v>
      </c>
      <c r="L601" t="b">
        <v>1</v>
      </c>
      <c r="M601">
        <v>4657</v>
      </c>
      <c r="N601" s="2" t="s">
        <v>100</v>
      </c>
      <c r="O601" t="b">
        <v>1</v>
      </c>
      <c r="P601">
        <v>7236</v>
      </c>
      <c r="Q601">
        <v>70.2374273937494</v>
      </c>
      <c r="R601" t="b">
        <v>0</v>
      </c>
      <c r="S601">
        <v>6.0089020771513297</v>
      </c>
      <c r="T601">
        <v>3.6</v>
      </c>
      <c r="U601">
        <v>79</v>
      </c>
      <c r="V601" t="b">
        <v>0</v>
      </c>
      <c r="W601" t="b">
        <v>1</v>
      </c>
      <c r="X601">
        <v>53.717201166180701</v>
      </c>
    </row>
    <row r="602" spans="3:24" x14ac:dyDescent="0.35">
      <c r="C602" s="2" t="s">
        <v>54</v>
      </c>
      <c r="D602" s="3">
        <v>45199</v>
      </c>
      <c r="E602">
        <v>18.994481071827199</v>
      </c>
      <c r="F602">
        <v>37.561915879551698</v>
      </c>
      <c r="G602">
        <v>42.5958965209634</v>
      </c>
      <c r="H602">
        <v>32.649812393769402</v>
      </c>
      <c r="I602">
        <v>8662</v>
      </c>
      <c r="J602">
        <v>62.5</v>
      </c>
      <c r="K602">
        <v>8</v>
      </c>
      <c r="L602" t="b">
        <v>1</v>
      </c>
      <c r="M602">
        <v>3720</v>
      </c>
      <c r="N602" s="2" t="s">
        <v>100</v>
      </c>
      <c r="O602" t="b">
        <v>1</v>
      </c>
      <c r="P602" s="2" t="s">
        <v>100</v>
      </c>
      <c r="Q602">
        <v>71.154811864450707</v>
      </c>
      <c r="R602" t="b">
        <v>0</v>
      </c>
      <c r="S602">
        <v>7.0254110612855003</v>
      </c>
      <c r="T602">
        <v>3</v>
      </c>
      <c r="U602">
        <v>80</v>
      </c>
      <c r="V602" t="b">
        <v>0</v>
      </c>
      <c r="W602" t="b">
        <v>1</v>
      </c>
      <c r="X602">
        <v>55.947136563876597</v>
      </c>
    </row>
    <row r="603" spans="3:24" x14ac:dyDescent="0.35">
      <c r="C603" s="2" t="s">
        <v>54</v>
      </c>
      <c r="D603" s="3">
        <v>44834</v>
      </c>
      <c r="E603">
        <v>17.8370550161812</v>
      </c>
      <c r="F603">
        <v>31.288840533819702</v>
      </c>
      <c r="G603">
        <v>66.8114051551551</v>
      </c>
      <c r="H603">
        <v>36.808580976905802</v>
      </c>
      <c r="I603">
        <v>7489</v>
      </c>
      <c r="J603">
        <v>62.5</v>
      </c>
      <c r="K603">
        <v>7</v>
      </c>
      <c r="L603" t="b">
        <v>1</v>
      </c>
      <c r="M603">
        <v>3336</v>
      </c>
      <c r="N603" s="2" t="s">
        <v>100</v>
      </c>
      <c r="O603" t="b">
        <v>1</v>
      </c>
      <c r="P603" s="2" t="s">
        <v>100</v>
      </c>
      <c r="Q603">
        <v>73.521960578472303</v>
      </c>
      <c r="R603" t="b">
        <v>0</v>
      </c>
      <c r="S603">
        <v>0</v>
      </c>
      <c r="T603">
        <v>3.1</v>
      </c>
      <c r="U603">
        <v>79</v>
      </c>
      <c r="V603" t="b">
        <v>0</v>
      </c>
      <c r="W603" t="b">
        <v>1</v>
      </c>
      <c r="X603">
        <v>0</v>
      </c>
    </row>
    <row r="604" spans="3:24" x14ac:dyDescent="0.35">
      <c r="C604" s="2" t="s">
        <v>54</v>
      </c>
      <c r="D604" s="3">
        <v>44469</v>
      </c>
      <c r="E604">
        <v>8.3101106168294301</v>
      </c>
      <c r="F604">
        <v>28.267976293352401</v>
      </c>
      <c r="G604">
        <v>73.961361828730702</v>
      </c>
      <c r="H604">
        <v>34.460872512085203</v>
      </c>
      <c r="I604">
        <v>9825</v>
      </c>
      <c r="J604">
        <v>75</v>
      </c>
      <c r="K604">
        <v>7</v>
      </c>
      <c r="L604" t="b">
        <v>1</v>
      </c>
      <c r="M604" s="2" t="s">
        <v>100</v>
      </c>
      <c r="N604" s="2" t="s">
        <v>100</v>
      </c>
      <c r="O604" t="b">
        <v>1</v>
      </c>
      <c r="P604" s="2" t="s">
        <v>100</v>
      </c>
      <c r="Q604">
        <v>75.621147307915805</v>
      </c>
      <c r="R604" t="b">
        <v>0</v>
      </c>
      <c r="S604">
        <v>0</v>
      </c>
      <c r="T604">
        <v>5.05</v>
      </c>
      <c r="U604">
        <v>79</v>
      </c>
      <c r="V604" t="b">
        <v>0</v>
      </c>
      <c r="W604" t="b">
        <v>1</v>
      </c>
      <c r="X604">
        <v>0</v>
      </c>
    </row>
    <row r="605" spans="3:24" x14ac:dyDescent="0.35">
      <c r="C605" s="2" t="s">
        <v>54</v>
      </c>
      <c r="D605" s="3">
        <v>44104</v>
      </c>
      <c r="E605">
        <v>8.9937857187963708</v>
      </c>
      <c r="F605">
        <v>26.022964350434702</v>
      </c>
      <c r="G605">
        <v>71.612942612942604</v>
      </c>
      <c r="H605">
        <v>33.187352804259902</v>
      </c>
      <c r="I605">
        <v>4331</v>
      </c>
      <c r="J605">
        <v>62.5</v>
      </c>
      <c r="K605">
        <v>7</v>
      </c>
      <c r="L605" t="b">
        <v>0</v>
      </c>
      <c r="M605" s="2" t="s">
        <v>100</v>
      </c>
      <c r="N605" s="2" t="s">
        <v>100</v>
      </c>
      <c r="O605" t="b">
        <v>1</v>
      </c>
      <c r="P605" s="2" t="s">
        <v>100</v>
      </c>
      <c r="Q605">
        <v>78.200069035947806</v>
      </c>
      <c r="R605" t="b">
        <v>0</v>
      </c>
      <c r="S605">
        <v>0</v>
      </c>
      <c r="T605">
        <v>4.0999999999999996</v>
      </c>
      <c r="U605" s="2" t="s">
        <v>100</v>
      </c>
      <c r="V605" t="b">
        <v>0</v>
      </c>
      <c r="W605" t="b">
        <v>1</v>
      </c>
      <c r="X605">
        <v>0</v>
      </c>
    </row>
    <row r="606" spans="3:24" x14ac:dyDescent="0.35">
      <c r="C606" s="2" t="s">
        <v>54</v>
      </c>
      <c r="D606" s="3">
        <v>43738</v>
      </c>
      <c r="E606">
        <v>9.54121450585418</v>
      </c>
      <c r="F606">
        <v>26.952913796751201</v>
      </c>
      <c r="G606">
        <v>78.611005254344903</v>
      </c>
      <c r="H606">
        <v>35.714827428923797</v>
      </c>
      <c r="I606">
        <v>4006</v>
      </c>
      <c r="J606">
        <v>66.6666666666666</v>
      </c>
      <c r="K606">
        <v>6</v>
      </c>
      <c r="L606" t="b">
        <v>0</v>
      </c>
      <c r="M606" s="2" t="s">
        <v>100</v>
      </c>
      <c r="N606" s="2" t="s">
        <v>100</v>
      </c>
      <c r="O606" t="b">
        <v>1</v>
      </c>
      <c r="P606" s="2" t="s">
        <v>100</v>
      </c>
      <c r="Q606">
        <v>80.269779293880703</v>
      </c>
      <c r="R606" s="2" t="s">
        <v>100</v>
      </c>
      <c r="S606">
        <v>0</v>
      </c>
      <c r="T606">
        <v>4.75</v>
      </c>
      <c r="U606" s="2" t="s">
        <v>100</v>
      </c>
      <c r="V606" t="b">
        <v>0</v>
      </c>
      <c r="W606" t="b">
        <v>1</v>
      </c>
      <c r="X606">
        <v>0</v>
      </c>
    </row>
    <row r="607" spans="3:24" x14ac:dyDescent="0.35">
      <c r="C607" s="2" t="s">
        <v>54</v>
      </c>
      <c r="D607" s="3">
        <v>43373</v>
      </c>
      <c r="E607">
        <v>9.8649162861491497</v>
      </c>
      <c r="F607">
        <v>20.548439907550101</v>
      </c>
      <c r="G607">
        <v>54.572029251150802</v>
      </c>
      <c r="H607">
        <v>26.587371837337301</v>
      </c>
      <c r="I607">
        <v>3473</v>
      </c>
      <c r="J607">
        <v>57.142857142857103</v>
      </c>
      <c r="K607">
        <v>5</v>
      </c>
      <c r="L607" t="b">
        <v>0</v>
      </c>
      <c r="M607" s="2" t="s">
        <v>100</v>
      </c>
      <c r="N607" s="2" t="s">
        <v>100</v>
      </c>
      <c r="O607" t="b">
        <v>1</v>
      </c>
      <c r="P607" s="2" t="s">
        <v>100</v>
      </c>
      <c r="Q607">
        <v>82.220517481419506</v>
      </c>
      <c r="R607" s="2" t="s">
        <v>100</v>
      </c>
      <c r="S607">
        <v>0</v>
      </c>
      <c r="T607">
        <v>0.3</v>
      </c>
      <c r="U607" s="2" t="s">
        <v>100</v>
      </c>
      <c r="V607" t="b">
        <v>0</v>
      </c>
      <c r="W607" t="b">
        <v>1</v>
      </c>
      <c r="X607">
        <v>0</v>
      </c>
    </row>
    <row r="608" spans="3:24" x14ac:dyDescent="0.35">
      <c r="C608" s="2" t="s">
        <v>54</v>
      </c>
      <c r="D608" s="3">
        <v>43008</v>
      </c>
      <c r="E608">
        <v>7.98445410752635</v>
      </c>
      <c r="F608">
        <v>12.9391626445168</v>
      </c>
      <c r="G608">
        <v>61.118919927359102</v>
      </c>
      <c r="H608">
        <v>24.967864016228301</v>
      </c>
      <c r="I608">
        <v>3680</v>
      </c>
      <c r="J608">
        <v>66.6666666666666</v>
      </c>
      <c r="K608">
        <v>6</v>
      </c>
      <c r="L608" t="b">
        <v>0</v>
      </c>
      <c r="M608" s="2" t="s">
        <v>100</v>
      </c>
      <c r="N608" s="2" t="s">
        <v>100</v>
      </c>
      <c r="O608" t="b">
        <v>1</v>
      </c>
      <c r="P608" s="2" t="s">
        <v>100</v>
      </c>
      <c r="Q608">
        <v>17.695432117423302</v>
      </c>
      <c r="R608" s="2" t="s">
        <v>100</v>
      </c>
      <c r="S608">
        <v>0</v>
      </c>
      <c r="T608">
        <v>1.5</v>
      </c>
      <c r="U608" s="2" t="s">
        <v>100</v>
      </c>
      <c r="V608" t="b">
        <v>0</v>
      </c>
      <c r="W608" t="b">
        <v>1</v>
      </c>
      <c r="X608">
        <v>0</v>
      </c>
    </row>
    <row r="609" spans="3:24" x14ac:dyDescent="0.35">
      <c r="C609" s="2" t="s">
        <v>54</v>
      </c>
      <c r="D609" s="3">
        <v>42643</v>
      </c>
      <c r="E609">
        <v>6.8763724198506697</v>
      </c>
      <c r="F609">
        <v>14.0594118703959</v>
      </c>
      <c r="G609">
        <v>38.365485455649299</v>
      </c>
      <c r="H609">
        <v>18.527064914743701</v>
      </c>
      <c r="I609">
        <v>3546</v>
      </c>
      <c r="J609">
        <v>50</v>
      </c>
      <c r="K609">
        <v>6</v>
      </c>
      <c r="L609" t="b">
        <v>0</v>
      </c>
      <c r="M609" s="2" t="s">
        <v>100</v>
      </c>
      <c r="N609" s="2" t="s">
        <v>100</v>
      </c>
      <c r="O609" t="b">
        <v>1</v>
      </c>
      <c r="P609" s="2" t="s">
        <v>100</v>
      </c>
      <c r="Q609">
        <v>18.497865737530599</v>
      </c>
      <c r="R609" s="2" t="s">
        <v>100</v>
      </c>
      <c r="S609">
        <v>0</v>
      </c>
      <c r="T609">
        <v>3.45</v>
      </c>
      <c r="U609" s="2" t="s">
        <v>100</v>
      </c>
      <c r="V609" t="b">
        <v>0</v>
      </c>
      <c r="W609" t="b">
        <v>1</v>
      </c>
      <c r="X609">
        <v>0</v>
      </c>
    </row>
    <row r="610" spans="3:24" x14ac:dyDescent="0.35">
      <c r="C610" s="2" t="s">
        <v>55</v>
      </c>
      <c r="D610" s="3">
        <v>46022</v>
      </c>
      <c r="E610">
        <v>84.425767860002395</v>
      </c>
      <c r="F610">
        <v>82.724527942026597</v>
      </c>
      <c r="G610">
        <v>63.060200414230003</v>
      </c>
      <c r="H610">
        <v>78.684721907179707</v>
      </c>
      <c r="I610">
        <v>35400000</v>
      </c>
      <c r="J610">
        <v>75</v>
      </c>
      <c r="K610">
        <v>13</v>
      </c>
      <c r="L610" t="b">
        <v>1</v>
      </c>
      <c r="M610">
        <v>536100</v>
      </c>
      <c r="N610" s="2" t="s">
        <v>100</v>
      </c>
      <c r="O610" t="b">
        <v>1</v>
      </c>
      <c r="P610">
        <v>2100000</v>
      </c>
      <c r="Q610">
        <v>69.909916611739803</v>
      </c>
      <c r="R610" t="b">
        <v>0</v>
      </c>
      <c r="S610">
        <v>65.355805243445701</v>
      </c>
      <c r="T610" s="2" t="s">
        <v>100</v>
      </c>
      <c r="U610">
        <v>66</v>
      </c>
      <c r="V610" t="b">
        <v>1</v>
      </c>
      <c r="W610" t="b">
        <v>1</v>
      </c>
      <c r="X610">
        <v>53.237410071942399</v>
      </c>
    </row>
    <row r="611" spans="3:24" x14ac:dyDescent="0.35">
      <c r="C611" s="2" t="s">
        <v>55</v>
      </c>
      <c r="D611" s="3">
        <v>45657</v>
      </c>
      <c r="E611">
        <v>89.947801919062996</v>
      </c>
      <c r="F611">
        <v>81.933222896135703</v>
      </c>
      <c r="G611">
        <v>86.803069409278507</v>
      </c>
      <c r="H611">
        <v>85.844884640473495</v>
      </c>
      <c r="I611">
        <v>35200000</v>
      </c>
      <c r="J611">
        <v>84.615384615384599</v>
      </c>
      <c r="K611">
        <v>11</v>
      </c>
      <c r="L611" t="b">
        <v>1</v>
      </c>
      <c r="M611">
        <v>523900</v>
      </c>
      <c r="N611">
        <v>1456</v>
      </c>
      <c r="O611" t="b">
        <v>1</v>
      </c>
      <c r="P611">
        <v>1200000</v>
      </c>
      <c r="Q611">
        <v>70.2374273937494</v>
      </c>
      <c r="R611" t="b">
        <v>0</v>
      </c>
      <c r="S611">
        <v>64.760147601476007</v>
      </c>
      <c r="T611" s="2" t="s">
        <v>100</v>
      </c>
      <c r="U611">
        <v>70</v>
      </c>
      <c r="V611" t="b">
        <v>1</v>
      </c>
      <c r="W611" t="b">
        <v>1</v>
      </c>
      <c r="X611">
        <v>53.345070422535201</v>
      </c>
    </row>
    <row r="612" spans="3:24" x14ac:dyDescent="0.35">
      <c r="C612" s="2" t="s">
        <v>55</v>
      </c>
      <c r="D612" s="3">
        <v>45291</v>
      </c>
      <c r="E612">
        <v>89.902352218528605</v>
      </c>
      <c r="F612">
        <v>86.189767254722895</v>
      </c>
      <c r="G612">
        <v>87.675956712531104</v>
      </c>
      <c r="H612">
        <v>87.820664683285102</v>
      </c>
      <c r="I612">
        <v>33100000</v>
      </c>
      <c r="J612">
        <v>84.615384615384599</v>
      </c>
      <c r="K612">
        <v>12</v>
      </c>
      <c r="L612" t="b">
        <v>1</v>
      </c>
      <c r="M612">
        <v>453500</v>
      </c>
      <c r="N612">
        <v>1520</v>
      </c>
      <c r="O612" t="b">
        <v>1</v>
      </c>
      <c r="P612">
        <v>1300000</v>
      </c>
      <c r="Q612">
        <v>71.154811864450707</v>
      </c>
      <c r="R612" t="b">
        <v>0</v>
      </c>
      <c r="S612">
        <v>66.104868913857601</v>
      </c>
      <c r="T612" s="2" t="s">
        <v>100</v>
      </c>
      <c r="U612">
        <v>73</v>
      </c>
      <c r="V612" t="b">
        <v>1</v>
      </c>
      <c r="W612" t="b">
        <v>1</v>
      </c>
      <c r="X612">
        <v>53.710247349823298</v>
      </c>
    </row>
    <row r="613" spans="3:24" x14ac:dyDescent="0.35">
      <c r="C613" s="2" t="s">
        <v>55</v>
      </c>
      <c r="D613" s="3">
        <v>44926</v>
      </c>
      <c r="E613">
        <v>89.773700129210994</v>
      </c>
      <c r="F613">
        <v>86.016454154086702</v>
      </c>
      <c r="G613">
        <v>92.854197947947895</v>
      </c>
      <c r="H613">
        <v>88.9219532656262</v>
      </c>
      <c r="I613">
        <v>32500000</v>
      </c>
      <c r="J613">
        <v>81.818181818181799</v>
      </c>
      <c r="K613">
        <v>11</v>
      </c>
      <c r="L613" t="b">
        <v>1</v>
      </c>
      <c r="M613">
        <v>546900</v>
      </c>
      <c r="N613">
        <v>1698</v>
      </c>
      <c r="O613" t="b">
        <v>1</v>
      </c>
      <c r="P613" s="2" t="s">
        <v>100</v>
      </c>
      <c r="Q613">
        <v>73.521960578472303</v>
      </c>
      <c r="R613" t="b">
        <v>0</v>
      </c>
      <c r="S613">
        <v>65.977443609022501</v>
      </c>
      <c r="T613">
        <v>0.34</v>
      </c>
      <c r="U613">
        <v>70</v>
      </c>
      <c r="V613" t="b">
        <v>1</v>
      </c>
      <c r="W613" t="b">
        <v>1</v>
      </c>
      <c r="X613">
        <v>54.878048780487802</v>
      </c>
    </row>
    <row r="614" spans="3:24" x14ac:dyDescent="0.35">
      <c r="C614" s="2" t="s">
        <v>55</v>
      </c>
      <c r="D614" s="3">
        <v>44561</v>
      </c>
      <c r="E614">
        <v>90.432247579667106</v>
      </c>
      <c r="F614">
        <v>88.337980327205699</v>
      </c>
      <c r="G614">
        <v>93.926625445533503</v>
      </c>
      <c r="H614">
        <v>90.375683171583105</v>
      </c>
      <c r="I614">
        <v>35600000</v>
      </c>
      <c r="J614">
        <v>84.615384615384599</v>
      </c>
      <c r="K614">
        <v>10</v>
      </c>
      <c r="L614" t="b">
        <v>1</v>
      </c>
      <c r="M614">
        <v>526600</v>
      </c>
      <c r="N614">
        <v>1741</v>
      </c>
      <c r="O614" t="b">
        <v>1</v>
      </c>
      <c r="P614" s="2" t="s">
        <v>100</v>
      </c>
      <c r="Q614">
        <v>75.621147307915805</v>
      </c>
      <c r="R614" t="b">
        <v>0</v>
      </c>
      <c r="S614">
        <v>67.460317460317398</v>
      </c>
      <c r="T614">
        <v>0.255</v>
      </c>
      <c r="U614">
        <v>64</v>
      </c>
      <c r="V614" t="b">
        <v>1</v>
      </c>
      <c r="W614" t="b">
        <v>1</v>
      </c>
      <c r="X614">
        <v>56.451612903225801</v>
      </c>
    </row>
    <row r="615" spans="3:24" x14ac:dyDescent="0.35">
      <c r="C615" s="2" t="s">
        <v>55</v>
      </c>
      <c r="D615" s="3">
        <v>44196</v>
      </c>
      <c r="E615">
        <v>85.184751809455193</v>
      </c>
      <c r="F615">
        <v>89.071216448582803</v>
      </c>
      <c r="G615">
        <v>93.662596662596599</v>
      </c>
      <c r="H615">
        <v>88.810329878377203</v>
      </c>
      <c r="I615">
        <v>44900000</v>
      </c>
      <c r="J615">
        <v>73.3333333333333</v>
      </c>
      <c r="K615">
        <v>11</v>
      </c>
      <c r="L615" t="b">
        <v>1</v>
      </c>
      <c r="M615">
        <v>540000</v>
      </c>
      <c r="N615">
        <v>2340</v>
      </c>
      <c r="O615" t="b">
        <v>1</v>
      </c>
      <c r="P615" s="2" t="s">
        <v>100</v>
      </c>
      <c r="Q615">
        <v>78.200069035947806</v>
      </c>
      <c r="R615" t="b">
        <v>0</v>
      </c>
      <c r="S615">
        <v>67.035398230088404</v>
      </c>
      <c r="T615">
        <v>0.22</v>
      </c>
      <c r="U615">
        <v>64</v>
      </c>
      <c r="V615" t="b">
        <v>1</v>
      </c>
      <c r="W615" t="b">
        <v>1</v>
      </c>
      <c r="X615">
        <v>59.586466165413498</v>
      </c>
    </row>
    <row r="616" spans="3:24" x14ac:dyDescent="0.35">
      <c r="C616" s="2" t="s">
        <v>55</v>
      </c>
      <c r="D616" s="3">
        <v>43830</v>
      </c>
      <c r="E616">
        <v>80.425830630004299</v>
      </c>
      <c r="F616">
        <v>89.921395211419593</v>
      </c>
      <c r="G616">
        <v>94.345631964894096</v>
      </c>
      <c r="H616">
        <v>87.685491376297506</v>
      </c>
      <c r="I616">
        <v>54400000</v>
      </c>
      <c r="J616">
        <v>85.714285714285694</v>
      </c>
      <c r="K616">
        <v>12</v>
      </c>
      <c r="L616" t="b">
        <v>1</v>
      </c>
      <c r="M616">
        <v>633700</v>
      </c>
      <c r="N616">
        <v>2825</v>
      </c>
      <c r="O616" t="b">
        <v>1</v>
      </c>
      <c r="P616" s="2" t="s">
        <v>100</v>
      </c>
      <c r="Q616">
        <v>80.269779293880703</v>
      </c>
      <c r="R616" t="b">
        <v>0</v>
      </c>
      <c r="S616">
        <v>70.270270270270203</v>
      </c>
      <c r="T616">
        <v>0.23499999999999999</v>
      </c>
      <c r="U616">
        <v>65</v>
      </c>
      <c r="V616" t="b">
        <v>1</v>
      </c>
      <c r="W616" t="b">
        <v>1</v>
      </c>
      <c r="X616">
        <v>60.227272727272698</v>
      </c>
    </row>
    <row r="617" spans="3:24" x14ac:dyDescent="0.35">
      <c r="C617" s="2" t="s">
        <v>55</v>
      </c>
      <c r="D617" s="3">
        <v>43465</v>
      </c>
      <c r="E617">
        <v>85.160220355679499</v>
      </c>
      <c r="F617">
        <v>92.804062062562494</v>
      </c>
      <c r="G617">
        <v>93.138654553320293</v>
      </c>
      <c r="H617">
        <v>90.244914922326103</v>
      </c>
      <c r="I617">
        <v>54200000</v>
      </c>
      <c r="J617">
        <v>75</v>
      </c>
      <c r="K617">
        <v>15</v>
      </c>
      <c r="L617" t="b">
        <v>1</v>
      </c>
      <c r="M617">
        <v>538220</v>
      </c>
      <c r="N617">
        <v>2804</v>
      </c>
      <c r="O617" t="b">
        <v>1</v>
      </c>
      <c r="P617" s="2" t="s">
        <v>100</v>
      </c>
      <c r="Q617">
        <v>82.220517481419506</v>
      </c>
      <c r="R617" t="b">
        <v>0</v>
      </c>
      <c r="S617">
        <v>92.718446601941693</v>
      </c>
      <c r="T617">
        <v>0.24</v>
      </c>
      <c r="U617">
        <v>66</v>
      </c>
      <c r="V617" t="b">
        <v>1</v>
      </c>
      <c r="W617" t="b">
        <v>1</v>
      </c>
      <c r="X617">
        <v>62.5</v>
      </c>
    </row>
    <row r="618" spans="3:24" x14ac:dyDescent="0.35">
      <c r="C618" s="2" t="s">
        <v>55</v>
      </c>
      <c r="D618" s="3">
        <v>43100</v>
      </c>
      <c r="E618">
        <v>84.8765950884642</v>
      </c>
      <c r="F618">
        <v>94.573179054719105</v>
      </c>
      <c r="G618">
        <v>79.283911083402401</v>
      </c>
      <c r="H618">
        <v>87.629432124093697</v>
      </c>
      <c r="I618">
        <v>56600000</v>
      </c>
      <c r="J618">
        <v>80</v>
      </c>
      <c r="K618">
        <v>13</v>
      </c>
      <c r="L618" t="b">
        <v>1</v>
      </c>
      <c r="M618">
        <v>593500</v>
      </c>
      <c r="N618">
        <v>2650</v>
      </c>
      <c r="O618" t="b">
        <v>1</v>
      </c>
      <c r="P618" s="2" t="s">
        <v>100</v>
      </c>
      <c r="Q618">
        <v>85.960763534790999</v>
      </c>
      <c r="R618" s="2" t="s">
        <v>100</v>
      </c>
      <c r="S618">
        <v>98.351648351648294</v>
      </c>
      <c r="T618">
        <v>0.27500000000000002</v>
      </c>
      <c r="U618">
        <v>66</v>
      </c>
      <c r="V618" t="b">
        <v>1</v>
      </c>
      <c r="W618" t="b">
        <v>1</v>
      </c>
      <c r="X618">
        <v>67.206477732793502</v>
      </c>
    </row>
    <row r="619" spans="3:24" x14ac:dyDescent="0.35">
      <c r="C619" s="2" t="s">
        <v>55</v>
      </c>
      <c r="D619" s="3">
        <v>42735</v>
      </c>
      <c r="E619">
        <v>78.741801234410104</v>
      </c>
      <c r="F619">
        <v>95.3728334517576</v>
      </c>
      <c r="G619">
        <v>77.284732571617795</v>
      </c>
      <c r="H619">
        <v>85.377473106914394</v>
      </c>
      <c r="I619">
        <v>57600000</v>
      </c>
      <c r="J619">
        <v>81.25</v>
      </c>
      <c r="K619">
        <v>14</v>
      </c>
      <c r="L619" t="b">
        <v>1</v>
      </c>
      <c r="M619">
        <v>600420</v>
      </c>
      <c r="N619">
        <v>3307</v>
      </c>
      <c r="O619" t="b">
        <v>1</v>
      </c>
      <c r="P619" s="2" t="s">
        <v>100</v>
      </c>
      <c r="Q619">
        <v>86.761782529177495</v>
      </c>
      <c r="R619" s="2" t="s">
        <v>100</v>
      </c>
      <c r="S619">
        <v>98.816568047337199</v>
      </c>
      <c r="T619">
        <v>0.255</v>
      </c>
      <c r="U619">
        <v>73</v>
      </c>
      <c r="V619" t="b">
        <v>1</v>
      </c>
      <c r="W619" t="b">
        <v>1</v>
      </c>
      <c r="X619">
        <v>70.2643171806167</v>
      </c>
    </row>
    <row r="620" spans="3:24" x14ac:dyDescent="0.35">
      <c r="C620" s="2" t="s">
        <v>56</v>
      </c>
      <c r="D620" s="3">
        <v>46022</v>
      </c>
      <c r="E620">
        <v>70.991777531411699</v>
      </c>
      <c r="F620">
        <v>84.891844566132605</v>
      </c>
      <c r="G620">
        <v>80.142315423976598</v>
      </c>
      <c r="H620">
        <v>80.054211303234595</v>
      </c>
      <c r="I620">
        <v>359132</v>
      </c>
      <c r="J620">
        <v>75</v>
      </c>
      <c r="K620">
        <v>12</v>
      </c>
      <c r="L620" t="b">
        <v>1</v>
      </c>
      <c r="M620">
        <v>54700</v>
      </c>
      <c r="N620" s="2" t="s">
        <v>100</v>
      </c>
      <c r="O620" t="b">
        <v>1</v>
      </c>
      <c r="P620">
        <v>991196</v>
      </c>
      <c r="Q620">
        <v>69.909916611739803</v>
      </c>
      <c r="R620" t="b">
        <v>0</v>
      </c>
      <c r="S620">
        <v>98.076923076923094</v>
      </c>
      <c r="T620">
        <v>0.9</v>
      </c>
      <c r="U620">
        <v>81</v>
      </c>
      <c r="V620" t="b">
        <v>1</v>
      </c>
      <c r="W620" t="b">
        <v>1</v>
      </c>
      <c r="X620">
        <v>51.893939393939299</v>
      </c>
    </row>
    <row r="621" spans="3:24" x14ac:dyDescent="0.35">
      <c r="C621" s="2" t="s">
        <v>56</v>
      </c>
      <c r="D621" s="3">
        <v>45657</v>
      </c>
      <c r="E621">
        <v>70.264082583442303</v>
      </c>
      <c r="F621">
        <v>87.478340899544307</v>
      </c>
      <c r="G621">
        <v>79.166053308210095</v>
      </c>
      <c r="H621">
        <v>80.700474237375801</v>
      </c>
      <c r="I621">
        <v>382155</v>
      </c>
      <c r="J621">
        <v>75</v>
      </c>
      <c r="K621">
        <v>12</v>
      </c>
      <c r="L621" t="b">
        <v>1</v>
      </c>
      <c r="M621">
        <v>60800</v>
      </c>
      <c r="N621" s="2" t="s">
        <v>100</v>
      </c>
      <c r="O621" t="b">
        <v>1</v>
      </c>
      <c r="P621">
        <v>1000000</v>
      </c>
      <c r="Q621">
        <v>70.2374273937494</v>
      </c>
      <c r="R621" t="b">
        <v>0</v>
      </c>
      <c r="S621">
        <v>98.062015503875898</v>
      </c>
      <c r="T621">
        <v>1.1000000000000001</v>
      </c>
      <c r="U621">
        <v>74</v>
      </c>
      <c r="V621" t="b">
        <v>1</v>
      </c>
      <c r="W621" t="b">
        <v>1</v>
      </c>
      <c r="X621">
        <v>52.307692307692299</v>
      </c>
    </row>
    <row r="622" spans="3:24" x14ac:dyDescent="0.35">
      <c r="C622" s="2" t="s">
        <v>56</v>
      </c>
      <c r="D622" s="3">
        <v>45291</v>
      </c>
      <c r="E622">
        <v>72.741524058183202</v>
      </c>
      <c r="F622">
        <v>88.026680002602006</v>
      </c>
      <c r="G622">
        <v>56.420133538777598</v>
      </c>
      <c r="H622">
        <v>74.165494844055701</v>
      </c>
      <c r="I622">
        <v>327875</v>
      </c>
      <c r="J622">
        <v>70.588235294117595</v>
      </c>
      <c r="K622">
        <v>12</v>
      </c>
      <c r="L622" t="b">
        <v>1</v>
      </c>
      <c r="M622">
        <v>58800</v>
      </c>
      <c r="N622" s="2" t="s">
        <v>100</v>
      </c>
      <c r="O622" t="b">
        <v>1</v>
      </c>
      <c r="P622">
        <v>757629</v>
      </c>
      <c r="Q622">
        <v>71.154811864450707</v>
      </c>
      <c r="R622" t="b">
        <v>0</v>
      </c>
      <c r="S622">
        <v>98.015873015872998</v>
      </c>
      <c r="T622">
        <v>1.1499999999999999</v>
      </c>
      <c r="U622">
        <v>79.8</v>
      </c>
      <c r="V622" t="b">
        <v>1</v>
      </c>
      <c r="W622" t="b">
        <v>1</v>
      </c>
      <c r="X622">
        <v>55.078125</v>
      </c>
    </row>
    <row r="623" spans="3:24" x14ac:dyDescent="0.35">
      <c r="C623" s="2" t="s">
        <v>56</v>
      </c>
      <c r="D623" s="3">
        <v>44926</v>
      </c>
      <c r="E623">
        <v>77.710732663562894</v>
      </c>
      <c r="F623">
        <v>81.717731298285102</v>
      </c>
      <c r="G623">
        <v>78.412537537537503</v>
      </c>
      <c r="H623">
        <v>79.696402707065801</v>
      </c>
      <c r="I623">
        <v>376168</v>
      </c>
      <c r="J623">
        <v>78.571428571428498</v>
      </c>
      <c r="K623">
        <v>13</v>
      </c>
      <c r="L623" t="b">
        <v>1</v>
      </c>
      <c r="M623">
        <v>48300</v>
      </c>
      <c r="N623" s="2" t="s">
        <v>100</v>
      </c>
      <c r="O623" t="b">
        <v>1</v>
      </c>
      <c r="P623">
        <v>581505</v>
      </c>
      <c r="Q623">
        <v>73.521960578472303</v>
      </c>
      <c r="R623" t="b">
        <v>0</v>
      </c>
      <c r="S623">
        <v>97.844827586206904</v>
      </c>
      <c r="T623">
        <v>1.5</v>
      </c>
      <c r="U623">
        <v>77</v>
      </c>
      <c r="V623" t="b">
        <v>1</v>
      </c>
      <c r="W623" t="b">
        <v>1</v>
      </c>
      <c r="X623">
        <v>58.8</v>
      </c>
    </row>
    <row r="624" spans="3:24" x14ac:dyDescent="0.35">
      <c r="C624" s="2" t="s">
        <v>56</v>
      </c>
      <c r="D624" s="3">
        <v>44561</v>
      </c>
      <c r="E624">
        <v>78.190740625195005</v>
      </c>
      <c r="F624">
        <v>74.282441905392602</v>
      </c>
      <c r="G624">
        <v>71.445278867684493</v>
      </c>
      <c r="H624">
        <v>74.2918053662315</v>
      </c>
      <c r="I624">
        <v>380270</v>
      </c>
      <c r="J624">
        <v>83.3333333333333</v>
      </c>
      <c r="K624">
        <v>13</v>
      </c>
      <c r="L624" t="b">
        <v>1</v>
      </c>
      <c r="M624">
        <v>43800</v>
      </c>
      <c r="N624" s="2" t="s">
        <v>100</v>
      </c>
      <c r="O624" t="b">
        <v>1</v>
      </c>
      <c r="P624">
        <v>250000</v>
      </c>
      <c r="Q624">
        <v>75.621147307915805</v>
      </c>
      <c r="R624" t="b">
        <v>0</v>
      </c>
      <c r="S624">
        <v>97.474747474747403</v>
      </c>
      <c r="T624">
        <v>1.6</v>
      </c>
      <c r="U624">
        <v>74.599999999999994</v>
      </c>
      <c r="V624" t="b">
        <v>1</v>
      </c>
      <c r="W624" t="b">
        <v>1</v>
      </c>
      <c r="X624">
        <v>60.185185185185098</v>
      </c>
    </row>
    <row r="625" spans="3:24" x14ac:dyDescent="0.35">
      <c r="C625" s="2" t="s">
        <v>56</v>
      </c>
      <c r="D625" s="3">
        <v>44196</v>
      </c>
      <c r="E625">
        <v>77.928325664303799</v>
      </c>
      <c r="F625">
        <v>79.351925046336504</v>
      </c>
      <c r="G625">
        <v>75.052910052909994</v>
      </c>
      <c r="H625">
        <v>77.622180770715801</v>
      </c>
      <c r="I625">
        <v>419365</v>
      </c>
      <c r="J625">
        <v>84.615384615384599</v>
      </c>
      <c r="K625">
        <v>13</v>
      </c>
      <c r="L625" t="b">
        <v>1</v>
      </c>
      <c r="M625">
        <v>48700</v>
      </c>
      <c r="N625" s="2" t="s">
        <v>100</v>
      </c>
      <c r="O625" t="b">
        <v>1</v>
      </c>
      <c r="P625">
        <v>500000</v>
      </c>
      <c r="Q625">
        <v>78.200069035947806</v>
      </c>
      <c r="R625" t="b">
        <v>0</v>
      </c>
      <c r="S625">
        <v>98.369565217391298</v>
      </c>
      <c r="T625">
        <v>1.35</v>
      </c>
      <c r="U625">
        <v>73.599999999999994</v>
      </c>
      <c r="V625" t="b">
        <v>1</v>
      </c>
      <c r="W625" t="b">
        <v>1</v>
      </c>
      <c r="X625">
        <v>61.792452830188601</v>
      </c>
    </row>
    <row r="626" spans="3:24" x14ac:dyDescent="0.35">
      <c r="C626" s="2" t="s">
        <v>56</v>
      </c>
      <c r="D626" s="3">
        <v>43830</v>
      </c>
      <c r="E626">
        <v>80.718586704502201</v>
      </c>
      <c r="F626">
        <v>83.215811443562103</v>
      </c>
      <c r="G626">
        <v>71.262139846411401</v>
      </c>
      <c r="H626">
        <v>78.753051456074502</v>
      </c>
      <c r="I626">
        <v>478576</v>
      </c>
      <c r="J626">
        <v>76.923076923076906</v>
      </c>
      <c r="K626">
        <v>12</v>
      </c>
      <c r="L626" t="b">
        <v>1</v>
      </c>
      <c r="M626">
        <v>97260.73</v>
      </c>
      <c r="N626" s="2" t="s">
        <v>100</v>
      </c>
      <c r="O626" t="b">
        <v>1</v>
      </c>
      <c r="P626">
        <v>1400000</v>
      </c>
      <c r="Q626">
        <v>80.269779293880703</v>
      </c>
      <c r="R626" t="b">
        <v>0</v>
      </c>
      <c r="S626">
        <v>98.809523809523796</v>
      </c>
      <c r="T626">
        <v>2.15</v>
      </c>
      <c r="U626">
        <v>70.599999999999994</v>
      </c>
      <c r="V626" t="b">
        <v>1</v>
      </c>
      <c r="W626" t="b">
        <v>1</v>
      </c>
      <c r="X626">
        <v>59.139784946236503</v>
      </c>
    </row>
    <row r="627" spans="3:24" x14ac:dyDescent="0.35">
      <c r="C627" s="2" t="s">
        <v>56</v>
      </c>
      <c r="D627" s="3">
        <v>43465</v>
      </c>
      <c r="E627">
        <v>77.161262826607199</v>
      </c>
      <c r="F627">
        <v>84.778347591117196</v>
      </c>
      <c r="G627">
        <v>60.702399520323603</v>
      </c>
      <c r="H627">
        <v>75.175603271588102</v>
      </c>
      <c r="I627">
        <v>493026</v>
      </c>
      <c r="J627">
        <v>76.923076923076906</v>
      </c>
      <c r="K627">
        <v>13</v>
      </c>
      <c r="L627" t="b">
        <v>1</v>
      </c>
      <c r="M627">
        <v>100125.95</v>
      </c>
      <c r="N627" s="2" t="s">
        <v>100</v>
      </c>
      <c r="O627" t="b">
        <v>1</v>
      </c>
      <c r="P627">
        <v>1000000</v>
      </c>
      <c r="Q627">
        <v>82.220517481419506</v>
      </c>
      <c r="R627" t="b">
        <v>0</v>
      </c>
      <c r="S627">
        <v>99.350649350649306</v>
      </c>
      <c r="T627">
        <v>1.9</v>
      </c>
      <c r="U627">
        <v>75</v>
      </c>
      <c r="V627" t="b">
        <v>1</v>
      </c>
      <c r="W627" t="b">
        <v>1</v>
      </c>
      <c r="X627">
        <v>56.172839506172799</v>
      </c>
    </row>
    <row r="628" spans="3:24" x14ac:dyDescent="0.35">
      <c r="C628" s="2" t="s">
        <v>56</v>
      </c>
      <c r="D628" s="3">
        <v>43100</v>
      </c>
      <c r="E628">
        <v>78.882767064585195</v>
      </c>
      <c r="F628">
        <v>87.597066436583205</v>
      </c>
      <c r="G628">
        <v>67.639312981605997</v>
      </c>
      <c r="H628">
        <v>79.0670607909003</v>
      </c>
      <c r="I628">
        <v>535377</v>
      </c>
      <c r="J628">
        <v>66.6666666666666</v>
      </c>
      <c r="K628">
        <v>12</v>
      </c>
      <c r="L628" t="b">
        <v>1</v>
      </c>
      <c r="M628">
        <v>87153.91</v>
      </c>
      <c r="N628" s="2" t="s">
        <v>100</v>
      </c>
      <c r="O628" t="b">
        <v>1</v>
      </c>
      <c r="P628">
        <v>1000000</v>
      </c>
      <c r="Q628">
        <v>85.960763534790999</v>
      </c>
      <c r="R628" s="2" t="s">
        <v>100</v>
      </c>
      <c r="S628">
        <v>99.342105263157904</v>
      </c>
      <c r="T628">
        <v>2.15</v>
      </c>
      <c r="U628">
        <v>75</v>
      </c>
      <c r="V628" t="b">
        <v>1</v>
      </c>
      <c r="W628" t="b">
        <v>1</v>
      </c>
      <c r="X628">
        <v>60</v>
      </c>
    </row>
    <row r="629" spans="3:24" x14ac:dyDescent="0.35">
      <c r="C629" s="2" t="s">
        <v>56</v>
      </c>
      <c r="D629" s="3">
        <v>42735</v>
      </c>
      <c r="E629">
        <v>79.1036385429978</v>
      </c>
      <c r="F629">
        <v>87.909740264716902</v>
      </c>
      <c r="G629">
        <v>55.938759176464103</v>
      </c>
      <c r="H629">
        <v>75.468765402931794</v>
      </c>
      <c r="I629">
        <v>544771</v>
      </c>
      <c r="J629">
        <v>60</v>
      </c>
      <c r="K629">
        <v>13</v>
      </c>
      <c r="L629" t="b">
        <v>1</v>
      </c>
      <c r="M629">
        <v>83083.649999999994</v>
      </c>
      <c r="N629" s="2" t="s">
        <v>100</v>
      </c>
      <c r="O629" t="b">
        <v>1</v>
      </c>
      <c r="P629">
        <v>1000000</v>
      </c>
      <c r="Q629">
        <v>86.761782529177495</v>
      </c>
      <c r="R629" s="2" t="s">
        <v>100</v>
      </c>
      <c r="S629">
        <v>98.387096774193495</v>
      </c>
      <c r="T629">
        <v>2.0499999999999998</v>
      </c>
      <c r="U629">
        <v>75</v>
      </c>
      <c r="V629" t="b">
        <v>1</v>
      </c>
      <c r="W629" t="b">
        <v>1</v>
      </c>
      <c r="X629">
        <v>59.285714285714199</v>
      </c>
    </row>
    <row r="630" spans="3:24" x14ac:dyDescent="0.35">
      <c r="C630" s="2" t="s">
        <v>57</v>
      </c>
      <c r="D630" s="3">
        <v>46022</v>
      </c>
      <c r="E630">
        <v>63.664198780477797</v>
      </c>
      <c r="F630">
        <v>78.041612958776199</v>
      </c>
      <c r="G630">
        <v>84.359237938596493</v>
      </c>
      <c r="H630">
        <v>74.674735532881698</v>
      </c>
      <c r="I630">
        <v>5943</v>
      </c>
      <c r="J630">
        <v>70</v>
      </c>
      <c r="K630">
        <v>10</v>
      </c>
      <c r="L630" t="b">
        <v>1</v>
      </c>
      <c r="M630" s="2" t="s">
        <v>100</v>
      </c>
      <c r="N630" s="2" t="s">
        <v>100</v>
      </c>
      <c r="O630" t="b">
        <v>1</v>
      </c>
      <c r="P630">
        <v>8407</v>
      </c>
      <c r="Q630">
        <v>69.909916611739803</v>
      </c>
      <c r="R630" t="b">
        <v>0</v>
      </c>
      <c r="S630">
        <v>75.682382133995006</v>
      </c>
      <c r="T630" s="2" t="s">
        <v>100</v>
      </c>
      <c r="U630">
        <v>88</v>
      </c>
      <c r="V630" t="b">
        <v>1</v>
      </c>
      <c r="W630" t="b">
        <v>1</v>
      </c>
      <c r="X630">
        <v>51.913875598086101</v>
      </c>
    </row>
    <row r="631" spans="3:24" x14ac:dyDescent="0.35">
      <c r="C631" s="2" t="s">
        <v>57</v>
      </c>
      <c r="D631" s="3">
        <v>45657</v>
      </c>
      <c r="E631">
        <v>64.162866695854305</v>
      </c>
      <c r="F631">
        <v>87.365359885034806</v>
      </c>
      <c r="G631">
        <v>77.508889608562797</v>
      </c>
      <c r="H631">
        <v>75.475041066621699</v>
      </c>
      <c r="I631">
        <v>5626</v>
      </c>
      <c r="J631">
        <v>77.7777777777777</v>
      </c>
      <c r="K631">
        <v>9</v>
      </c>
      <c r="L631" t="b">
        <v>1</v>
      </c>
      <c r="M631" s="2" t="s">
        <v>100</v>
      </c>
      <c r="N631" s="2" t="s">
        <v>100</v>
      </c>
      <c r="O631" t="b">
        <v>1</v>
      </c>
      <c r="P631">
        <v>7059</v>
      </c>
      <c r="Q631">
        <v>70.2374273937494</v>
      </c>
      <c r="R631" t="b">
        <v>0</v>
      </c>
      <c r="S631">
        <v>75.304136253041307</v>
      </c>
      <c r="T631" s="2" t="s">
        <v>100</v>
      </c>
      <c r="U631">
        <v>86</v>
      </c>
      <c r="V631" t="b">
        <v>1</v>
      </c>
      <c r="W631" t="b">
        <v>1</v>
      </c>
      <c r="X631">
        <v>51.990632318501099</v>
      </c>
    </row>
    <row r="632" spans="3:24" x14ac:dyDescent="0.35">
      <c r="C632" s="2" t="s">
        <v>57</v>
      </c>
      <c r="D632" s="3">
        <v>45291</v>
      </c>
      <c r="E632">
        <v>66.656038710592497</v>
      </c>
      <c r="F632">
        <v>79.880764780348201</v>
      </c>
      <c r="G632">
        <v>71.097685147640505</v>
      </c>
      <c r="H632">
        <v>72.084437752555502</v>
      </c>
      <c r="I632">
        <v>4807</v>
      </c>
      <c r="J632">
        <v>70</v>
      </c>
      <c r="K632">
        <v>9</v>
      </c>
      <c r="L632" t="b">
        <v>1</v>
      </c>
      <c r="M632" s="2" t="s">
        <v>100</v>
      </c>
      <c r="N632" s="2" t="s">
        <v>100</v>
      </c>
      <c r="O632" t="b">
        <v>1</v>
      </c>
      <c r="P632">
        <v>5936</v>
      </c>
      <c r="Q632">
        <v>71.154811864450707</v>
      </c>
      <c r="R632" t="b">
        <v>0</v>
      </c>
      <c r="S632">
        <v>77.586206896551701</v>
      </c>
      <c r="T632" s="2" t="s">
        <v>100</v>
      </c>
      <c r="U632">
        <v>89</v>
      </c>
      <c r="V632" t="b">
        <v>1</v>
      </c>
      <c r="W632" t="b">
        <v>1</v>
      </c>
      <c r="X632">
        <v>52.132701421800903</v>
      </c>
    </row>
    <row r="633" spans="3:24" x14ac:dyDescent="0.35">
      <c r="C633" s="2" t="s">
        <v>57</v>
      </c>
      <c r="D633" s="3">
        <v>44926</v>
      </c>
      <c r="E633">
        <v>72.109441303838594</v>
      </c>
      <c r="F633">
        <v>82.319529682002496</v>
      </c>
      <c r="G633">
        <v>77.258664914914903</v>
      </c>
      <c r="H633">
        <v>76.8542806346139</v>
      </c>
      <c r="I633">
        <v>6745</v>
      </c>
      <c r="J633">
        <v>72.727272727272705</v>
      </c>
      <c r="K633">
        <v>10</v>
      </c>
      <c r="L633" t="b">
        <v>1</v>
      </c>
      <c r="M633" s="2" t="s">
        <v>100</v>
      </c>
      <c r="N633" s="2" t="s">
        <v>100</v>
      </c>
      <c r="O633" t="b">
        <v>1</v>
      </c>
      <c r="P633">
        <v>5299</v>
      </c>
      <c r="Q633">
        <v>73.521960578472303</v>
      </c>
      <c r="R633" t="b">
        <v>0</v>
      </c>
      <c r="S633">
        <v>80.946291560102296</v>
      </c>
      <c r="T633" s="2" t="s">
        <v>100</v>
      </c>
      <c r="U633">
        <v>91</v>
      </c>
      <c r="V633" t="b">
        <v>1</v>
      </c>
      <c r="W633" t="b">
        <v>1</v>
      </c>
      <c r="X633">
        <v>54.146919431279599</v>
      </c>
    </row>
    <row r="634" spans="3:24" x14ac:dyDescent="0.35">
      <c r="C634" s="2" t="s">
        <v>57</v>
      </c>
      <c r="D634" s="3">
        <v>44561</v>
      </c>
      <c r="E634">
        <v>74.848551803723794</v>
      </c>
      <c r="F634">
        <v>79.086537841076293</v>
      </c>
      <c r="G634">
        <v>81.722904292904403</v>
      </c>
      <c r="H634">
        <v>78.343369493106707</v>
      </c>
      <c r="I634">
        <v>4137</v>
      </c>
      <c r="J634">
        <v>72.727272727272705</v>
      </c>
      <c r="K634">
        <v>10</v>
      </c>
      <c r="L634" t="b">
        <v>1</v>
      </c>
      <c r="M634" s="2" t="s">
        <v>100</v>
      </c>
      <c r="N634" s="2" t="s">
        <v>100</v>
      </c>
      <c r="O634" t="b">
        <v>1</v>
      </c>
      <c r="P634">
        <v>4656</v>
      </c>
      <c r="Q634">
        <v>75.621147307915805</v>
      </c>
      <c r="R634" t="b">
        <v>0</v>
      </c>
      <c r="S634">
        <v>86.532951289398198</v>
      </c>
      <c r="T634" s="2" t="s">
        <v>100</v>
      </c>
      <c r="U634" s="2" t="s">
        <v>100</v>
      </c>
      <c r="V634" t="b">
        <v>1</v>
      </c>
      <c r="W634" t="b">
        <v>1</v>
      </c>
      <c r="X634">
        <v>53.877005347593503</v>
      </c>
    </row>
    <row r="635" spans="3:24" x14ac:dyDescent="0.35">
      <c r="C635" s="2" t="s">
        <v>57</v>
      </c>
      <c r="D635" s="3">
        <v>44196</v>
      </c>
      <c r="E635">
        <v>77.403940477673103</v>
      </c>
      <c r="F635">
        <v>82.852750441261904</v>
      </c>
      <c r="G635">
        <v>72.888074888074797</v>
      </c>
      <c r="H635">
        <v>77.597130241034094</v>
      </c>
      <c r="I635">
        <v>3446</v>
      </c>
      <c r="J635">
        <v>60</v>
      </c>
      <c r="K635">
        <v>9</v>
      </c>
      <c r="L635" t="b">
        <v>1</v>
      </c>
      <c r="M635" s="2" t="s">
        <v>100</v>
      </c>
      <c r="N635" s="2" t="s">
        <v>100</v>
      </c>
      <c r="O635" t="b">
        <v>1</v>
      </c>
      <c r="P635">
        <v>2812</v>
      </c>
      <c r="Q635">
        <v>78.200069035947806</v>
      </c>
      <c r="R635" t="b">
        <v>0</v>
      </c>
      <c r="S635">
        <v>85.488958990536204</v>
      </c>
      <c r="T635" s="2" t="s">
        <v>100</v>
      </c>
      <c r="U635">
        <v>94</v>
      </c>
      <c r="V635" t="b">
        <v>1</v>
      </c>
      <c r="W635" t="b">
        <v>1</v>
      </c>
      <c r="X635">
        <v>56.179775280898802</v>
      </c>
    </row>
    <row r="636" spans="3:24" x14ac:dyDescent="0.35">
      <c r="C636" s="2" t="s">
        <v>57</v>
      </c>
      <c r="D636" s="3">
        <v>43830</v>
      </c>
      <c r="E636">
        <v>77.788297723781596</v>
      </c>
      <c r="F636">
        <v>85.358362644283005</v>
      </c>
      <c r="G636">
        <v>63.4640568162134</v>
      </c>
      <c r="H636">
        <v>75.464465180315401</v>
      </c>
      <c r="I636">
        <v>2597</v>
      </c>
      <c r="J636">
        <v>63.636363636363598</v>
      </c>
      <c r="K636">
        <v>10</v>
      </c>
      <c r="L636" t="b">
        <v>1</v>
      </c>
      <c r="M636" s="2" t="s">
        <v>100</v>
      </c>
      <c r="N636" s="2" t="s">
        <v>100</v>
      </c>
      <c r="O636" t="b">
        <v>1</v>
      </c>
      <c r="P636">
        <v>3507</v>
      </c>
      <c r="Q636">
        <v>80.269779293880703</v>
      </c>
      <c r="R636" t="b">
        <v>0</v>
      </c>
      <c r="S636">
        <v>88.996763754045304</v>
      </c>
      <c r="T636">
        <v>0</v>
      </c>
      <c r="U636" s="2" t="s">
        <v>100</v>
      </c>
      <c r="V636" t="b">
        <v>1</v>
      </c>
      <c r="W636" t="b">
        <v>1</v>
      </c>
      <c r="X636">
        <v>55.393586005830898</v>
      </c>
    </row>
    <row r="637" spans="3:24" x14ac:dyDescent="0.35">
      <c r="C637" s="2" t="s">
        <v>57</v>
      </c>
      <c r="D637" s="3">
        <v>43465</v>
      </c>
      <c r="E637">
        <v>81.191249688822495</v>
      </c>
      <c r="F637">
        <v>67.541451760908799</v>
      </c>
      <c r="G637">
        <v>73.371548056817304</v>
      </c>
      <c r="H637">
        <v>74.546594691365598</v>
      </c>
      <c r="I637">
        <v>3123</v>
      </c>
      <c r="J637">
        <v>66.6666666666666</v>
      </c>
      <c r="K637">
        <v>10</v>
      </c>
      <c r="L637" t="b">
        <v>1</v>
      </c>
      <c r="M637" s="2" t="s">
        <v>100</v>
      </c>
      <c r="N637" s="2" t="s">
        <v>100</v>
      </c>
      <c r="O637" t="b">
        <v>1</v>
      </c>
      <c r="P637">
        <v>3708</v>
      </c>
      <c r="Q637">
        <v>82.220517481419506</v>
      </c>
      <c r="R637" t="b">
        <v>0</v>
      </c>
      <c r="S637">
        <v>1.47058823529411</v>
      </c>
      <c r="T637">
        <v>0</v>
      </c>
      <c r="U637">
        <v>92</v>
      </c>
      <c r="V637" t="b">
        <v>1</v>
      </c>
      <c r="W637" t="b">
        <v>1</v>
      </c>
      <c r="X637">
        <v>0</v>
      </c>
    </row>
    <row r="638" spans="3:24" x14ac:dyDescent="0.35">
      <c r="C638" s="2" t="s">
        <v>57</v>
      </c>
      <c r="D638" s="3">
        <v>43100</v>
      </c>
      <c r="E638">
        <v>76.679574393860094</v>
      </c>
      <c r="F638">
        <v>85.097133991688196</v>
      </c>
      <c r="G638">
        <v>62.325145883958697</v>
      </c>
      <c r="H638">
        <v>74.602240655489197</v>
      </c>
      <c r="I638">
        <v>5677</v>
      </c>
      <c r="J638">
        <v>60</v>
      </c>
      <c r="K638">
        <v>10</v>
      </c>
      <c r="L638" t="b">
        <v>1</v>
      </c>
      <c r="M638" s="2" t="s">
        <v>100</v>
      </c>
      <c r="N638" s="2" t="s">
        <v>100</v>
      </c>
      <c r="O638" t="b">
        <v>1</v>
      </c>
      <c r="P638">
        <v>3353</v>
      </c>
      <c r="Q638">
        <v>85.960763534790999</v>
      </c>
      <c r="R638" s="2" t="s">
        <v>100</v>
      </c>
      <c r="S638">
        <v>86.213991769547306</v>
      </c>
      <c r="T638">
        <v>0</v>
      </c>
      <c r="U638" s="2" t="s">
        <v>100</v>
      </c>
      <c r="V638" t="b">
        <v>1</v>
      </c>
      <c r="W638" t="b">
        <v>1</v>
      </c>
      <c r="X638">
        <v>0</v>
      </c>
    </row>
    <row r="639" spans="3:24" x14ac:dyDescent="0.35">
      <c r="C639" s="2" t="s">
        <v>57</v>
      </c>
      <c r="D639" s="3">
        <v>42735</v>
      </c>
      <c r="E639">
        <v>86.887849193731498</v>
      </c>
      <c r="F639">
        <v>69.483851196478795</v>
      </c>
      <c r="G639">
        <v>64.373102610807507</v>
      </c>
      <c r="H639">
        <v>74.376346427251903</v>
      </c>
      <c r="I639">
        <v>19246</v>
      </c>
      <c r="J639">
        <v>63.636363636363598</v>
      </c>
      <c r="K639">
        <v>10</v>
      </c>
      <c r="L639" t="b">
        <v>1</v>
      </c>
      <c r="M639" s="2" t="s">
        <v>100</v>
      </c>
      <c r="N639" s="2" t="s">
        <v>100</v>
      </c>
      <c r="O639" t="b">
        <v>1</v>
      </c>
      <c r="P639">
        <v>6422</v>
      </c>
      <c r="Q639">
        <v>86.761782529177495</v>
      </c>
      <c r="R639" s="2" t="s">
        <v>100</v>
      </c>
      <c r="S639">
        <v>1.8828451882845101</v>
      </c>
      <c r="T639">
        <v>0</v>
      </c>
      <c r="U639">
        <v>90</v>
      </c>
      <c r="V639" t="b">
        <v>1</v>
      </c>
      <c r="W639" t="b">
        <v>1</v>
      </c>
      <c r="X639">
        <v>0</v>
      </c>
    </row>
    <row r="640" spans="3:24" x14ac:dyDescent="0.35">
      <c r="C640" s="2" t="s">
        <v>58</v>
      </c>
      <c r="D640" s="3">
        <v>45745</v>
      </c>
      <c r="E640">
        <v>56.9668496489981</v>
      </c>
      <c r="F640">
        <v>77.316638714979007</v>
      </c>
      <c r="G640">
        <v>70.971308479532098</v>
      </c>
      <c r="H640">
        <v>70.651288358380498</v>
      </c>
      <c r="I640">
        <v>360680</v>
      </c>
      <c r="J640">
        <v>66.6666666666666</v>
      </c>
      <c r="K640">
        <v>10</v>
      </c>
      <c r="L640" t="b">
        <v>1</v>
      </c>
      <c r="M640">
        <v>73285</v>
      </c>
      <c r="N640" s="2" t="s">
        <v>100</v>
      </c>
      <c r="O640" t="b">
        <v>1</v>
      </c>
      <c r="P640" s="2" t="s">
        <v>100</v>
      </c>
      <c r="Q640">
        <v>69.909916611739803</v>
      </c>
      <c r="R640" t="b">
        <v>0</v>
      </c>
      <c r="S640">
        <v>88.8888888888888</v>
      </c>
      <c r="T640" s="2" t="s">
        <v>100</v>
      </c>
      <c r="U640">
        <v>76</v>
      </c>
      <c r="V640" t="b">
        <v>1</v>
      </c>
      <c r="W640" t="b">
        <v>1</v>
      </c>
      <c r="X640">
        <v>54.255319148936103</v>
      </c>
    </row>
    <row r="641" spans="3:24" x14ac:dyDescent="0.35">
      <c r="C641" s="2" t="s">
        <v>58</v>
      </c>
      <c r="D641" s="3">
        <v>45381</v>
      </c>
      <c r="E641">
        <v>61.284046203647101</v>
      </c>
      <c r="F641">
        <v>81.024915958465698</v>
      </c>
      <c r="G641">
        <v>55.611526559238897</v>
      </c>
      <c r="H641">
        <v>68.885643721878694</v>
      </c>
      <c r="I641">
        <v>361885</v>
      </c>
      <c r="J641">
        <v>72.727272727272705</v>
      </c>
      <c r="K641">
        <v>11</v>
      </c>
      <c r="L641" t="b">
        <v>1</v>
      </c>
      <c r="M641">
        <v>69808</v>
      </c>
      <c r="N641" s="2" t="s">
        <v>100</v>
      </c>
      <c r="O641" t="b">
        <v>1</v>
      </c>
      <c r="P641" s="2" t="s">
        <v>100</v>
      </c>
      <c r="Q641">
        <v>70.2374273937494</v>
      </c>
      <c r="R641" t="b">
        <v>0</v>
      </c>
      <c r="S641">
        <v>80.514705882352899</v>
      </c>
      <c r="T641" s="2" t="s">
        <v>100</v>
      </c>
      <c r="U641">
        <v>64</v>
      </c>
      <c r="V641" t="b">
        <v>1</v>
      </c>
      <c r="W641" t="b">
        <v>1</v>
      </c>
      <c r="X641">
        <v>55.244755244755197</v>
      </c>
    </row>
    <row r="642" spans="3:24" x14ac:dyDescent="0.35">
      <c r="C642" s="2" t="s">
        <v>58</v>
      </c>
      <c r="D642" s="3">
        <v>45017</v>
      </c>
      <c r="E642">
        <v>58.980875949026597</v>
      </c>
      <c r="F642">
        <v>80.705842845949206</v>
      </c>
      <c r="G642">
        <v>65.455716847331402</v>
      </c>
      <c r="H642">
        <v>71.093047571140602</v>
      </c>
      <c r="I642">
        <v>362000</v>
      </c>
      <c r="J642">
        <v>64.285714285714207</v>
      </c>
      <c r="K642">
        <v>11</v>
      </c>
      <c r="L642" t="b">
        <v>1</v>
      </c>
      <c r="M642">
        <v>69000</v>
      </c>
      <c r="N642" s="2" t="s">
        <v>100</v>
      </c>
      <c r="O642" t="b">
        <v>1</v>
      </c>
      <c r="P642" s="2" t="s">
        <v>100</v>
      </c>
      <c r="Q642">
        <v>71.154811864450707</v>
      </c>
      <c r="R642" t="b">
        <v>0</v>
      </c>
      <c r="S642">
        <v>81.954887218045101</v>
      </c>
      <c r="T642" s="2" t="s">
        <v>100</v>
      </c>
      <c r="U642">
        <v>64</v>
      </c>
      <c r="V642" t="b">
        <v>1</v>
      </c>
      <c r="W642" t="b">
        <v>1</v>
      </c>
      <c r="X642">
        <v>56.3829787234042</v>
      </c>
    </row>
    <row r="643" spans="3:24" x14ac:dyDescent="0.35">
      <c r="C643" s="2" t="s">
        <v>58</v>
      </c>
      <c r="D643" s="3">
        <v>44653</v>
      </c>
      <c r="E643">
        <v>66.113725852097801</v>
      </c>
      <c r="F643">
        <v>81.810167575606101</v>
      </c>
      <c r="G643">
        <v>56.423673673673598</v>
      </c>
      <c r="H643">
        <v>70.632006347237805</v>
      </c>
      <c r="I643">
        <v>314000</v>
      </c>
      <c r="J643">
        <v>63.636363636363598</v>
      </c>
      <c r="K643">
        <v>11</v>
      </c>
      <c r="L643" t="b">
        <v>1</v>
      </c>
      <c r="M643">
        <v>78000</v>
      </c>
      <c r="N643" s="2" t="s">
        <v>100</v>
      </c>
      <c r="O643" t="b">
        <v>1</v>
      </c>
      <c r="P643" s="2" t="s">
        <v>100</v>
      </c>
      <c r="Q643">
        <v>73.521960578472303</v>
      </c>
      <c r="R643" t="b">
        <v>0</v>
      </c>
      <c r="S643">
        <v>82.307692307692307</v>
      </c>
      <c r="T643" s="2" t="s">
        <v>100</v>
      </c>
      <c r="U643">
        <v>62</v>
      </c>
      <c r="V643" t="b">
        <v>1</v>
      </c>
      <c r="W643" t="b">
        <v>1</v>
      </c>
      <c r="X643">
        <v>57.092198581560197</v>
      </c>
    </row>
    <row r="644" spans="3:24" x14ac:dyDescent="0.35">
      <c r="C644" s="2" t="s">
        <v>58</v>
      </c>
      <c r="D644" s="3">
        <v>44289</v>
      </c>
      <c r="E644">
        <v>78.150597809909797</v>
      </c>
      <c r="F644">
        <v>88.0005287857756</v>
      </c>
      <c r="G644">
        <v>83.111906469592697</v>
      </c>
      <c r="H644">
        <v>84.238921457727301</v>
      </c>
      <c r="I644">
        <v>298000</v>
      </c>
      <c r="J644">
        <v>75</v>
      </c>
      <c r="K644">
        <v>10</v>
      </c>
      <c r="L644" t="b">
        <v>1</v>
      </c>
      <c r="M644">
        <v>59000</v>
      </c>
      <c r="N644" s="2" t="s">
        <v>100</v>
      </c>
      <c r="O644" t="b">
        <v>1</v>
      </c>
      <c r="P644" s="2" t="s">
        <v>100</v>
      </c>
      <c r="Q644">
        <v>75.621147307915805</v>
      </c>
      <c r="R644" s="2" t="s">
        <v>100</v>
      </c>
      <c r="S644">
        <v>89.837398373983703</v>
      </c>
      <c r="T644" s="2" t="s">
        <v>100</v>
      </c>
      <c r="U644">
        <v>82</v>
      </c>
      <c r="V644" t="b">
        <v>1</v>
      </c>
      <c r="W644" t="b">
        <v>1</v>
      </c>
      <c r="X644">
        <v>58.148148148148103</v>
      </c>
    </row>
    <row r="645" spans="3:24" x14ac:dyDescent="0.35">
      <c r="C645" s="2" t="s">
        <v>58</v>
      </c>
      <c r="D645" s="3">
        <v>43918</v>
      </c>
      <c r="E645">
        <v>79.558966861598293</v>
      </c>
      <c r="F645">
        <v>90.345129968064299</v>
      </c>
      <c r="G645">
        <v>80.063085063085097</v>
      </c>
      <c r="H645">
        <v>84.773975188641501</v>
      </c>
      <c r="I645">
        <v>338000</v>
      </c>
      <c r="J645">
        <v>66.6666666666666</v>
      </c>
      <c r="K645">
        <v>8</v>
      </c>
      <c r="L645" t="b">
        <v>1</v>
      </c>
      <c r="M645">
        <v>69600</v>
      </c>
      <c r="N645" s="2" t="s">
        <v>100</v>
      </c>
      <c r="O645" t="b">
        <v>1</v>
      </c>
      <c r="P645" s="2" t="s">
        <v>100</v>
      </c>
      <c r="Q645">
        <v>78.200069035947806</v>
      </c>
      <c r="R645" s="2" t="s">
        <v>100</v>
      </c>
      <c r="S645">
        <v>90.099009900990097</v>
      </c>
      <c r="T645" s="2" t="s">
        <v>100</v>
      </c>
      <c r="U645">
        <v>81</v>
      </c>
      <c r="V645" t="b">
        <v>1</v>
      </c>
      <c r="W645" t="b">
        <v>1</v>
      </c>
      <c r="X645">
        <v>62.393162393162299</v>
      </c>
    </row>
    <row r="646" spans="3:24" x14ac:dyDescent="0.35">
      <c r="C646" s="2" t="s">
        <v>58</v>
      </c>
      <c r="D646" s="3">
        <v>43554</v>
      </c>
      <c r="E646">
        <v>83.392946787148603</v>
      </c>
      <c r="F646">
        <v>81.718544169893406</v>
      </c>
      <c r="G646">
        <v>63.496679946879098</v>
      </c>
      <c r="H646">
        <v>76.7450227570328</v>
      </c>
      <c r="I646">
        <v>360000</v>
      </c>
      <c r="J646">
        <v>61.538461538461497</v>
      </c>
      <c r="K646">
        <v>9</v>
      </c>
      <c r="L646" t="b">
        <v>1</v>
      </c>
      <c r="M646">
        <v>73000</v>
      </c>
      <c r="N646" s="2" t="s">
        <v>100</v>
      </c>
      <c r="O646" t="b">
        <v>1</v>
      </c>
      <c r="P646" s="2" t="s">
        <v>100</v>
      </c>
      <c r="Q646">
        <v>80.269779293880703</v>
      </c>
      <c r="R646" s="2" t="s">
        <v>100</v>
      </c>
      <c r="S646">
        <v>70.744680851063805</v>
      </c>
      <c r="T646" s="2" t="s">
        <v>100</v>
      </c>
      <c r="U646">
        <v>81</v>
      </c>
      <c r="V646" t="b">
        <v>1</v>
      </c>
      <c r="W646" t="b">
        <v>1</v>
      </c>
      <c r="X646">
        <v>62.019230769230703</v>
      </c>
    </row>
    <row r="647" spans="3:24" x14ac:dyDescent="0.35">
      <c r="C647" s="2" t="s">
        <v>58</v>
      </c>
      <c r="D647" s="3">
        <v>43190</v>
      </c>
      <c r="E647">
        <v>83.943258125167802</v>
      </c>
      <c r="F647">
        <v>79.118034207902895</v>
      </c>
      <c r="G647">
        <v>76.356850378162505</v>
      </c>
      <c r="H647">
        <v>79.441797145272602</v>
      </c>
      <c r="I647">
        <v>430000</v>
      </c>
      <c r="J647">
        <v>58.3333333333333</v>
      </c>
      <c r="K647">
        <v>10</v>
      </c>
      <c r="L647" t="b">
        <v>1</v>
      </c>
      <c r="M647">
        <v>81000</v>
      </c>
      <c r="N647" s="2" t="s">
        <v>100</v>
      </c>
      <c r="O647" t="b">
        <v>1</v>
      </c>
      <c r="P647" s="2" t="s">
        <v>100</v>
      </c>
      <c r="Q647">
        <v>82.220517481419506</v>
      </c>
      <c r="R647" s="2" t="s">
        <v>100</v>
      </c>
      <c r="S647">
        <v>71.084337349397501</v>
      </c>
      <c r="T647" s="2" t="s">
        <v>100</v>
      </c>
      <c r="U647">
        <v>82</v>
      </c>
      <c r="V647" t="b">
        <v>1</v>
      </c>
      <c r="W647" t="b">
        <v>1</v>
      </c>
      <c r="X647">
        <v>60.9890109890109</v>
      </c>
    </row>
    <row r="648" spans="3:24" x14ac:dyDescent="0.35">
      <c r="C648" s="2" t="s">
        <v>58</v>
      </c>
      <c r="D648" s="3">
        <v>42826</v>
      </c>
      <c r="E648">
        <v>84.015763983114695</v>
      </c>
      <c r="F648">
        <v>84.768503036644702</v>
      </c>
      <c r="G648">
        <v>75.404968201901895</v>
      </c>
      <c r="H648">
        <v>81.832609920503899</v>
      </c>
      <c r="I648">
        <v>478000</v>
      </c>
      <c r="J648">
        <v>57.142857142857103</v>
      </c>
      <c r="K648">
        <v>11</v>
      </c>
      <c r="L648" t="b">
        <v>1</v>
      </c>
      <c r="M648">
        <v>83000</v>
      </c>
      <c r="N648" s="2" t="s">
        <v>100</v>
      </c>
      <c r="O648" t="b">
        <v>1</v>
      </c>
      <c r="P648" s="2" t="s">
        <v>100</v>
      </c>
      <c r="Q648">
        <v>85.960763534790999</v>
      </c>
      <c r="R648" s="2" t="s">
        <v>100</v>
      </c>
      <c r="S648">
        <v>80.921052631578902</v>
      </c>
      <c r="T648" s="2" t="s">
        <v>100</v>
      </c>
      <c r="U648">
        <v>81</v>
      </c>
      <c r="V648" t="b">
        <v>1</v>
      </c>
      <c r="W648" t="b">
        <v>1</v>
      </c>
      <c r="X648">
        <v>64.705882352941103</v>
      </c>
    </row>
    <row r="649" spans="3:24" x14ac:dyDescent="0.35">
      <c r="C649" s="2" t="s">
        <v>58</v>
      </c>
      <c r="D649" s="3">
        <v>42462</v>
      </c>
      <c r="E649">
        <v>95.737745098039198</v>
      </c>
      <c r="F649">
        <v>97.140783993446504</v>
      </c>
      <c r="G649">
        <v>68.790776618645396</v>
      </c>
      <c r="H649">
        <v>88.567693953283396</v>
      </c>
      <c r="I649">
        <v>510000</v>
      </c>
      <c r="J649">
        <v>53.3333333333333</v>
      </c>
      <c r="K649">
        <v>14</v>
      </c>
      <c r="L649" t="b">
        <v>1</v>
      </c>
      <c r="M649" s="2" t="s">
        <v>100</v>
      </c>
      <c r="N649" s="2" t="s">
        <v>100</v>
      </c>
      <c r="O649" t="b">
        <v>1</v>
      </c>
      <c r="P649" s="2" t="s">
        <v>100</v>
      </c>
      <c r="Q649">
        <v>86.761782529177495</v>
      </c>
      <c r="R649" s="2" t="s">
        <v>100</v>
      </c>
      <c r="S649">
        <v>97.950819672131104</v>
      </c>
      <c r="T649">
        <v>1.0429999999999999</v>
      </c>
      <c r="U649">
        <v>78</v>
      </c>
      <c r="V649" t="b">
        <v>1</v>
      </c>
      <c r="W649" t="b">
        <v>1</v>
      </c>
      <c r="X649">
        <v>67.721518987341696</v>
      </c>
    </row>
    <row r="650" spans="3:24" x14ac:dyDescent="0.35">
      <c r="C650" s="2" t="s">
        <v>58</v>
      </c>
      <c r="D650" s="3">
        <v>42490</v>
      </c>
      <c r="E650" s="2" t="s">
        <v>100</v>
      </c>
      <c r="F650" s="2" t="s">
        <v>100</v>
      </c>
      <c r="G650" s="2" t="s">
        <v>100</v>
      </c>
      <c r="H650" s="2" t="s">
        <v>100</v>
      </c>
      <c r="I650" s="2" t="s">
        <v>100</v>
      </c>
      <c r="J650" s="2" t="s">
        <v>100</v>
      </c>
      <c r="K650" s="2" t="s">
        <v>100</v>
      </c>
      <c r="L650" s="2" t="s">
        <v>100</v>
      </c>
      <c r="M650" s="2" t="s">
        <v>100</v>
      </c>
      <c r="N650" s="2" t="s">
        <v>100</v>
      </c>
      <c r="O650" s="2" t="s">
        <v>100</v>
      </c>
      <c r="P650" s="2" t="s">
        <v>100</v>
      </c>
      <c r="Q650" s="2" t="s">
        <v>100</v>
      </c>
      <c r="R650" s="2" t="s">
        <v>100</v>
      </c>
      <c r="S650" s="2" t="s">
        <v>100</v>
      </c>
      <c r="T650" s="2" t="s">
        <v>100</v>
      </c>
      <c r="U650" s="2" t="s">
        <v>100</v>
      </c>
      <c r="V650" s="2" t="s">
        <v>100</v>
      </c>
      <c r="W650" s="2" t="s">
        <v>100</v>
      </c>
      <c r="X650" s="2" t="s">
        <v>100</v>
      </c>
    </row>
    <row r="651" spans="3:24" x14ac:dyDescent="0.35">
      <c r="C651" s="2" t="s">
        <v>58</v>
      </c>
      <c r="D651" s="3">
        <v>44316</v>
      </c>
      <c r="E651" s="2" t="s">
        <v>100</v>
      </c>
      <c r="F651" s="2" t="s">
        <v>100</v>
      </c>
      <c r="G651" s="2" t="s">
        <v>100</v>
      </c>
      <c r="H651" s="2" t="s">
        <v>100</v>
      </c>
      <c r="I651" s="2" t="s">
        <v>100</v>
      </c>
      <c r="J651" s="2" t="s">
        <v>100</v>
      </c>
      <c r="K651" s="2" t="s">
        <v>100</v>
      </c>
      <c r="L651" s="2" t="s">
        <v>100</v>
      </c>
      <c r="M651" s="2" t="s">
        <v>100</v>
      </c>
      <c r="N651" s="2" t="s">
        <v>100</v>
      </c>
      <c r="O651" s="2" t="s">
        <v>100</v>
      </c>
      <c r="P651" s="2" t="s">
        <v>100</v>
      </c>
      <c r="Q651" s="2" t="s">
        <v>100</v>
      </c>
      <c r="R651" s="2" t="s">
        <v>100</v>
      </c>
      <c r="S651" s="2" t="s">
        <v>100</v>
      </c>
      <c r="T651" s="2" t="s">
        <v>100</v>
      </c>
      <c r="U651" s="2" t="s">
        <v>100</v>
      </c>
      <c r="V651" s="2" t="s">
        <v>100</v>
      </c>
      <c r="W651" s="2" t="s">
        <v>100</v>
      </c>
      <c r="X651" s="2" t="s">
        <v>100</v>
      </c>
    </row>
    <row r="652" spans="3:24" x14ac:dyDescent="0.35">
      <c r="C652" s="2" t="s">
        <v>58</v>
      </c>
      <c r="D652" s="3">
        <v>43951</v>
      </c>
      <c r="E652" s="2" t="s">
        <v>100</v>
      </c>
      <c r="F652" s="2" t="s">
        <v>100</v>
      </c>
      <c r="G652" s="2" t="s">
        <v>100</v>
      </c>
      <c r="H652" s="2" t="s">
        <v>100</v>
      </c>
      <c r="I652" s="2" t="s">
        <v>100</v>
      </c>
      <c r="J652" s="2" t="s">
        <v>100</v>
      </c>
      <c r="K652" s="2" t="s">
        <v>100</v>
      </c>
      <c r="L652" s="2" t="s">
        <v>100</v>
      </c>
      <c r="M652" s="2" t="s">
        <v>100</v>
      </c>
      <c r="N652" s="2" t="s">
        <v>100</v>
      </c>
      <c r="O652" s="2" t="s">
        <v>100</v>
      </c>
      <c r="P652" s="2" t="s">
        <v>100</v>
      </c>
      <c r="Q652" s="2" t="s">
        <v>100</v>
      </c>
      <c r="R652" s="2" t="s">
        <v>100</v>
      </c>
      <c r="S652" s="2" t="s">
        <v>100</v>
      </c>
      <c r="T652" s="2" t="s">
        <v>100</v>
      </c>
      <c r="U652" s="2" t="s">
        <v>100</v>
      </c>
      <c r="V652" s="2" t="s">
        <v>100</v>
      </c>
      <c r="W652" s="2" t="s">
        <v>100</v>
      </c>
      <c r="X652" s="2" t="s">
        <v>100</v>
      </c>
    </row>
    <row r="653" spans="3:24" x14ac:dyDescent="0.35">
      <c r="C653" s="2" t="s">
        <v>58</v>
      </c>
      <c r="D653" s="3">
        <v>43585</v>
      </c>
      <c r="E653" s="2" t="s">
        <v>100</v>
      </c>
      <c r="F653" s="2" t="s">
        <v>100</v>
      </c>
      <c r="G653" s="2" t="s">
        <v>100</v>
      </c>
      <c r="H653" s="2" t="s">
        <v>100</v>
      </c>
      <c r="I653" s="2" t="s">
        <v>100</v>
      </c>
      <c r="J653" s="2" t="s">
        <v>100</v>
      </c>
      <c r="K653" s="2" t="s">
        <v>100</v>
      </c>
      <c r="L653" s="2" t="s">
        <v>100</v>
      </c>
      <c r="M653" s="2" t="s">
        <v>100</v>
      </c>
      <c r="N653" s="2" t="s">
        <v>100</v>
      </c>
      <c r="O653" s="2" t="s">
        <v>100</v>
      </c>
      <c r="P653" s="2" t="s">
        <v>100</v>
      </c>
      <c r="Q653" s="2" t="s">
        <v>100</v>
      </c>
      <c r="R653" s="2" t="s">
        <v>100</v>
      </c>
      <c r="S653" s="2" t="s">
        <v>100</v>
      </c>
      <c r="T653" s="2" t="s">
        <v>100</v>
      </c>
      <c r="U653" s="2" t="s">
        <v>100</v>
      </c>
      <c r="V653" s="2" t="s">
        <v>100</v>
      </c>
      <c r="W653" s="2" t="s">
        <v>100</v>
      </c>
      <c r="X653" s="2" t="s">
        <v>100</v>
      </c>
    </row>
    <row r="654" spans="3:24" x14ac:dyDescent="0.35">
      <c r="C654" s="2" t="s">
        <v>58</v>
      </c>
      <c r="D654" s="3">
        <v>43220</v>
      </c>
      <c r="E654" s="2" t="s">
        <v>100</v>
      </c>
      <c r="F654" s="2" t="s">
        <v>100</v>
      </c>
      <c r="G654" s="2" t="s">
        <v>100</v>
      </c>
      <c r="H654" s="2" t="s">
        <v>100</v>
      </c>
      <c r="I654" s="2" t="s">
        <v>100</v>
      </c>
      <c r="J654" s="2" t="s">
        <v>100</v>
      </c>
      <c r="K654" s="2" t="s">
        <v>100</v>
      </c>
      <c r="L654" s="2" t="s">
        <v>100</v>
      </c>
      <c r="M654" s="2" t="s">
        <v>100</v>
      </c>
      <c r="N654" s="2" t="s">
        <v>100</v>
      </c>
      <c r="O654" s="2" t="s">
        <v>100</v>
      </c>
      <c r="P654" s="2" t="s">
        <v>100</v>
      </c>
      <c r="Q654" s="2" t="s">
        <v>100</v>
      </c>
      <c r="R654" s="2" t="s">
        <v>100</v>
      </c>
      <c r="S654" s="2" t="s">
        <v>100</v>
      </c>
      <c r="T654" s="2" t="s">
        <v>100</v>
      </c>
      <c r="U654" s="2" t="s">
        <v>100</v>
      </c>
      <c r="V654" s="2" t="s">
        <v>100</v>
      </c>
      <c r="W654" s="2" t="s">
        <v>100</v>
      </c>
      <c r="X654" s="2" t="s">
        <v>100</v>
      </c>
    </row>
    <row r="655" spans="3:24" x14ac:dyDescent="0.35">
      <c r="C655" s="2" t="s">
        <v>58</v>
      </c>
      <c r="D655" s="3">
        <v>42855</v>
      </c>
      <c r="E655" s="2" t="s">
        <v>100</v>
      </c>
      <c r="F655" s="2" t="s">
        <v>100</v>
      </c>
      <c r="G655" s="2" t="s">
        <v>100</v>
      </c>
      <c r="H655" s="2" t="s">
        <v>100</v>
      </c>
      <c r="I655" s="2" t="s">
        <v>100</v>
      </c>
      <c r="J655" s="2" t="s">
        <v>100</v>
      </c>
      <c r="K655" s="2" t="s">
        <v>100</v>
      </c>
      <c r="L655" s="2" t="s">
        <v>100</v>
      </c>
      <c r="M655" s="2" t="s">
        <v>100</v>
      </c>
      <c r="N655" s="2" t="s">
        <v>100</v>
      </c>
      <c r="O655" s="2" t="s">
        <v>100</v>
      </c>
      <c r="P655" s="2" t="s">
        <v>100</v>
      </c>
      <c r="Q655" s="2" t="s">
        <v>100</v>
      </c>
      <c r="R655" s="2" t="s">
        <v>100</v>
      </c>
      <c r="S655" s="2" t="s">
        <v>100</v>
      </c>
      <c r="T655" s="2" t="s">
        <v>100</v>
      </c>
      <c r="U655" s="2" t="s">
        <v>100</v>
      </c>
      <c r="V655" s="2" t="s">
        <v>100</v>
      </c>
      <c r="W655" s="2" t="s">
        <v>100</v>
      </c>
      <c r="X655" s="2" t="s">
        <v>100</v>
      </c>
    </row>
    <row r="656" spans="3:24" x14ac:dyDescent="0.35">
      <c r="C656" s="2" t="s">
        <v>58</v>
      </c>
      <c r="D656" s="3">
        <v>45777</v>
      </c>
      <c r="E656" s="2" t="s">
        <v>100</v>
      </c>
      <c r="F656" s="2" t="s">
        <v>100</v>
      </c>
      <c r="G656" s="2" t="s">
        <v>100</v>
      </c>
      <c r="H656" s="2" t="s">
        <v>100</v>
      </c>
      <c r="I656" s="2" t="s">
        <v>100</v>
      </c>
      <c r="J656" s="2" t="s">
        <v>100</v>
      </c>
      <c r="K656" s="2" t="s">
        <v>100</v>
      </c>
      <c r="L656" s="2" t="s">
        <v>100</v>
      </c>
      <c r="M656" s="2" t="s">
        <v>100</v>
      </c>
      <c r="N656" s="2" t="s">
        <v>100</v>
      </c>
      <c r="O656" s="2" t="s">
        <v>100</v>
      </c>
      <c r="P656" s="2" t="s">
        <v>100</v>
      </c>
      <c r="Q656" s="2" t="s">
        <v>100</v>
      </c>
      <c r="R656" s="2" t="s">
        <v>100</v>
      </c>
      <c r="S656" s="2" t="s">
        <v>100</v>
      </c>
      <c r="T656" s="2" t="s">
        <v>100</v>
      </c>
      <c r="U656" s="2" t="s">
        <v>100</v>
      </c>
      <c r="V656" s="2" t="s">
        <v>100</v>
      </c>
      <c r="W656" s="2" t="s">
        <v>100</v>
      </c>
      <c r="X656" s="2" t="s">
        <v>100</v>
      </c>
    </row>
    <row r="657" spans="3:24" x14ac:dyDescent="0.35">
      <c r="C657" s="2" t="s">
        <v>58</v>
      </c>
      <c r="D657" s="3">
        <v>45412</v>
      </c>
      <c r="E657" s="2" t="s">
        <v>100</v>
      </c>
      <c r="F657" s="2" t="s">
        <v>100</v>
      </c>
      <c r="G657" s="2" t="s">
        <v>100</v>
      </c>
      <c r="H657" s="2" t="s">
        <v>100</v>
      </c>
      <c r="I657" s="2" t="s">
        <v>100</v>
      </c>
      <c r="J657" s="2" t="s">
        <v>100</v>
      </c>
      <c r="K657" s="2" t="s">
        <v>100</v>
      </c>
      <c r="L657" s="2" t="s">
        <v>100</v>
      </c>
      <c r="M657" s="2" t="s">
        <v>100</v>
      </c>
      <c r="N657" s="2" t="s">
        <v>100</v>
      </c>
      <c r="O657" s="2" t="s">
        <v>100</v>
      </c>
      <c r="P657" s="2" t="s">
        <v>100</v>
      </c>
      <c r="Q657" s="2" t="s">
        <v>100</v>
      </c>
      <c r="R657" s="2" t="s">
        <v>100</v>
      </c>
      <c r="S657" s="2" t="s">
        <v>100</v>
      </c>
      <c r="T657" s="2" t="s">
        <v>100</v>
      </c>
      <c r="U657" s="2" t="s">
        <v>100</v>
      </c>
      <c r="V657" s="2" t="s">
        <v>100</v>
      </c>
      <c r="W657" s="2" t="s">
        <v>100</v>
      </c>
      <c r="X657" s="2" t="s">
        <v>100</v>
      </c>
    </row>
    <row r="658" spans="3:24" x14ac:dyDescent="0.35">
      <c r="C658" s="2" t="s">
        <v>58</v>
      </c>
      <c r="D658" s="3">
        <v>45046</v>
      </c>
      <c r="E658" s="2" t="s">
        <v>100</v>
      </c>
      <c r="F658" s="2" t="s">
        <v>100</v>
      </c>
      <c r="G658" s="2" t="s">
        <v>100</v>
      </c>
      <c r="H658" s="2" t="s">
        <v>100</v>
      </c>
      <c r="I658" s="2" t="s">
        <v>100</v>
      </c>
      <c r="J658" s="2" t="s">
        <v>100</v>
      </c>
      <c r="K658" s="2" t="s">
        <v>100</v>
      </c>
      <c r="L658" s="2" t="s">
        <v>100</v>
      </c>
      <c r="M658" s="2" t="s">
        <v>100</v>
      </c>
      <c r="N658" s="2" t="s">
        <v>100</v>
      </c>
      <c r="O658" s="2" t="s">
        <v>100</v>
      </c>
      <c r="P658" s="2" t="s">
        <v>100</v>
      </c>
      <c r="Q658" s="2" t="s">
        <v>100</v>
      </c>
      <c r="R658" s="2" t="s">
        <v>100</v>
      </c>
      <c r="S658" s="2" t="s">
        <v>100</v>
      </c>
      <c r="T658" s="2" t="s">
        <v>100</v>
      </c>
      <c r="U658" s="2" t="s">
        <v>100</v>
      </c>
      <c r="V658" s="2" t="s">
        <v>100</v>
      </c>
      <c r="W658" s="2" t="s">
        <v>100</v>
      </c>
      <c r="X658" s="2" t="s">
        <v>100</v>
      </c>
    </row>
    <row r="659" spans="3:24" x14ac:dyDescent="0.35">
      <c r="C659" s="2" t="s">
        <v>58</v>
      </c>
      <c r="D659" s="3">
        <v>44681</v>
      </c>
      <c r="E659" s="2" t="s">
        <v>100</v>
      </c>
      <c r="F659" s="2" t="s">
        <v>100</v>
      </c>
      <c r="G659" s="2" t="s">
        <v>100</v>
      </c>
      <c r="H659" s="2" t="s">
        <v>100</v>
      </c>
      <c r="I659" s="2" t="s">
        <v>100</v>
      </c>
      <c r="J659" s="2" t="s">
        <v>100</v>
      </c>
      <c r="K659" s="2" t="s">
        <v>100</v>
      </c>
      <c r="L659" s="2" t="s">
        <v>100</v>
      </c>
      <c r="M659" s="2" t="s">
        <v>100</v>
      </c>
      <c r="N659" s="2" t="s">
        <v>100</v>
      </c>
      <c r="O659" s="2" t="s">
        <v>100</v>
      </c>
      <c r="P659" s="2" t="s">
        <v>100</v>
      </c>
      <c r="Q659" s="2" t="s">
        <v>100</v>
      </c>
      <c r="R659" s="2" t="s">
        <v>100</v>
      </c>
      <c r="S659" s="2" t="s">
        <v>100</v>
      </c>
      <c r="T659" s="2" t="s">
        <v>100</v>
      </c>
      <c r="U659" s="2" t="s">
        <v>100</v>
      </c>
      <c r="V659" s="2" t="s">
        <v>100</v>
      </c>
      <c r="W659" s="2" t="s">
        <v>100</v>
      </c>
      <c r="X659" s="2" t="s">
        <v>100</v>
      </c>
    </row>
    <row r="660" spans="3:24" x14ac:dyDescent="0.35">
      <c r="C660" s="2" t="s">
        <v>59</v>
      </c>
      <c r="D660" s="3">
        <v>46022</v>
      </c>
      <c r="E660">
        <v>80.606801390699601</v>
      </c>
      <c r="F660">
        <v>75.466777757518798</v>
      </c>
      <c r="G660">
        <v>78.803530092592496</v>
      </c>
      <c r="H660">
        <v>77.820093472897398</v>
      </c>
      <c r="I660">
        <v>822385</v>
      </c>
      <c r="J660">
        <v>55.5555555555555</v>
      </c>
      <c r="K660">
        <v>17</v>
      </c>
      <c r="L660" t="b">
        <v>1</v>
      </c>
      <c r="M660">
        <v>201529</v>
      </c>
      <c r="N660" s="2" t="s">
        <v>100</v>
      </c>
      <c r="O660" t="b">
        <v>1</v>
      </c>
      <c r="P660" s="2" t="s">
        <v>100</v>
      </c>
      <c r="Q660">
        <v>69.909916611739803</v>
      </c>
      <c r="R660" t="b">
        <v>1</v>
      </c>
      <c r="S660">
        <v>60.504201680672203</v>
      </c>
      <c r="T660" s="2" t="s">
        <v>100</v>
      </c>
      <c r="U660" s="2" t="s">
        <v>100</v>
      </c>
      <c r="V660" t="b">
        <v>1</v>
      </c>
      <c r="W660" t="b">
        <v>1</v>
      </c>
      <c r="X660">
        <v>52.941176470588204</v>
      </c>
    </row>
    <row r="661" spans="3:24" x14ac:dyDescent="0.35">
      <c r="C661" s="2" t="s">
        <v>59</v>
      </c>
      <c r="D661" s="3">
        <v>45657</v>
      </c>
      <c r="E661">
        <v>74.885845449782195</v>
      </c>
      <c r="F661">
        <v>78.424324664019395</v>
      </c>
      <c r="G661">
        <v>78.043018508704705</v>
      </c>
      <c r="H661">
        <v>77.278593414732001</v>
      </c>
      <c r="I661">
        <v>881101</v>
      </c>
      <c r="J661">
        <v>52.941176470588204</v>
      </c>
      <c r="K661">
        <v>17</v>
      </c>
      <c r="L661" t="b">
        <v>1</v>
      </c>
      <c r="M661">
        <v>201269</v>
      </c>
      <c r="N661" s="2" t="s">
        <v>100</v>
      </c>
      <c r="O661" t="b">
        <v>1</v>
      </c>
      <c r="P661" s="2" t="s">
        <v>100</v>
      </c>
      <c r="Q661">
        <v>70.2374273937494</v>
      </c>
      <c r="R661" t="b">
        <v>1</v>
      </c>
      <c r="S661">
        <v>61.864406779661003</v>
      </c>
      <c r="T661" s="2" t="s">
        <v>100</v>
      </c>
      <c r="U661" s="2" t="s">
        <v>100</v>
      </c>
      <c r="V661" t="b">
        <v>1</v>
      </c>
      <c r="W661" t="b">
        <v>1</v>
      </c>
      <c r="X661">
        <v>53.389830508474503</v>
      </c>
    </row>
    <row r="662" spans="3:24" x14ac:dyDescent="0.35">
      <c r="C662" s="2" t="s">
        <v>59</v>
      </c>
      <c r="D662" s="3">
        <v>45291</v>
      </c>
      <c r="E662">
        <v>89.553244211227707</v>
      </c>
      <c r="F662">
        <v>74.758060591731194</v>
      </c>
      <c r="G662">
        <v>80.8575496265059</v>
      </c>
      <c r="H662">
        <v>80.664068415762301</v>
      </c>
      <c r="I662">
        <v>575988</v>
      </c>
      <c r="J662">
        <v>55</v>
      </c>
      <c r="K662">
        <v>17</v>
      </c>
      <c r="L662" t="b">
        <v>1</v>
      </c>
      <c r="M662">
        <v>180764</v>
      </c>
      <c r="N662" s="2" t="s">
        <v>100</v>
      </c>
      <c r="O662" t="b">
        <v>1</v>
      </c>
      <c r="P662" s="2" t="s">
        <v>100</v>
      </c>
      <c r="Q662">
        <v>71.154811864450707</v>
      </c>
      <c r="R662" t="b">
        <v>0</v>
      </c>
      <c r="S662">
        <v>64.529914529914507</v>
      </c>
      <c r="T662" s="2" t="s">
        <v>100</v>
      </c>
      <c r="U662" s="2" t="s">
        <v>100</v>
      </c>
      <c r="V662" t="b">
        <v>1</v>
      </c>
      <c r="W662" t="b">
        <v>1</v>
      </c>
      <c r="X662">
        <v>55.932203389830498</v>
      </c>
    </row>
    <row r="663" spans="3:24" x14ac:dyDescent="0.35">
      <c r="C663" s="2" t="s">
        <v>59</v>
      </c>
      <c r="D663" s="3">
        <v>44926</v>
      </c>
      <c r="E663">
        <v>91.035725991478202</v>
      </c>
      <c r="F663">
        <v>80.952902085073902</v>
      </c>
      <c r="G663">
        <v>75.121277527527496</v>
      </c>
      <c r="H663">
        <v>82.504755652370903</v>
      </c>
      <c r="I663">
        <v>607140</v>
      </c>
      <c r="J663">
        <v>52.941176470588204</v>
      </c>
      <c r="K663">
        <v>17</v>
      </c>
      <c r="L663" t="b">
        <v>1</v>
      </c>
      <c r="M663">
        <v>127058</v>
      </c>
      <c r="N663" s="2" t="s">
        <v>100</v>
      </c>
      <c r="O663" t="b">
        <v>1</v>
      </c>
      <c r="P663" s="2" t="s">
        <v>100</v>
      </c>
      <c r="Q663">
        <v>73.521960578472303</v>
      </c>
      <c r="R663" t="b">
        <v>0</v>
      </c>
      <c r="S663">
        <v>76.956521739130395</v>
      </c>
      <c r="T663" s="2" t="s">
        <v>100</v>
      </c>
      <c r="U663" s="2" t="s">
        <v>100</v>
      </c>
      <c r="V663" t="b">
        <v>1</v>
      </c>
      <c r="W663" t="b">
        <v>1</v>
      </c>
      <c r="X663">
        <v>56.8965517241379</v>
      </c>
    </row>
    <row r="664" spans="3:24" x14ac:dyDescent="0.35">
      <c r="C664" s="2" t="s">
        <v>59</v>
      </c>
      <c r="D664" s="3">
        <v>44561</v>
      </c>
      <c r="E664">
        <v>89.711718020541497</v>
      </c>
      <c r="F664">
        <v>79.394091909881496</v>
      </c>
      <c r="G664">
        <v>73.824072641699502</v>
      </c>
      <c r="H664">
        <v>81.080479491215399</v>
      </c>
      <c r="I664">
        <v>508611</v>
      </c>
      <c r="J664">
        <v>50</v>
      </c>
      <c r="K664">
        <v>17</v>
      </c>
      <c r="L664" t="b">
        <v>1</v>
      </c>
      <c r="M664">
        <v>125940</v>
      </c>
      <c r="N664" s="2" t="s">
        <v>100</v>
      </c>
      <c r="O664" t="b">
        <v>1</v>
      </c>
      <c r="P664">
        <v>442990.6</v>
      </c>
      <c r="Q664">
        <v>75.621147307915805</v>
      </c>
      <c r="R664" t="b">
        <v>0</v>
      </c>
      <c r="S664">
        <v>75.242718446601899</v>
      </c>
      <c r="T664" s="2" t="s">
        <v>100</v>
      </c>
      <c r="U664" s="2" t="s">
        <v>100</v>
      </c>
      <c r="V664" t="b">
        <v>1</v>
      </c>
      <c r="W664" t="b">
        <v>1</v>
      </c>
      <c r="X664">
        <v>60.7476635514018</v>
      </c>
    </row>
    <row r="665" spans="3:24" x14ac:dyDescent="0.35">
      <c r="C665" s="2" t="s">
        <v>59</v>
      </c>
      <c r="D665" s="3">
        <v>44196</v>
      </c>
      <c r="E665">
        <v>86.665944079347696</v>
      </c>
      <c r="F665">
        <v>77.570578080174599</v>
      </c>
      <c r="G665">
        <v>81.848188848188798</v>
      </c>
      <c r="H665">
        <v>81.332020988102897</v>
      </c>
      <c r="I665">
        <v>526266</v>
      </c>
      <c r="J665">
        <v>52.631578947368403</v>
      </c>
      <c r="K665">
        <v>17</v>
      </c>
      <c r="L665" t="b">
        <v>1</v>
      </c>
      <c r="M665">
        <v>121113</v>
      </c>
      <c r="N665" s="2" t="s">
        <v>100</v>
      </c>
      <c r="O665" t="b">
        <v>1</v>
      </c>
      <c r="P665">
        <v>316115.8</v>
      </c>
      <c r="Q665">
        <v>78.200069035947806</v>
      </c>
      <c r="R665" t="b">
        <v>0</v>
      </c>
      <c r="S665">
        <v>65.882352941176407</v>
      </c>
      <c r="T665" s="2" t="s">
        <v>100</v>
      </c>
      <c r="U665" s="2" t="s">
        <v>100</v>
      </c>
      <c r="V665" t="b">
        <v>1</v>
      </c>
      <c r="W665" t="b">
        <v>1</v>
      </c>
      <c r="X665">
        <v>61.413043478260803</v>
      </c>
    </row>
    <row r="666" spans="3:24" x14ac:dyDescent="0.35">
      <c r="C666" s="2" t="s">
        <v>59</v>
      </c>
      <c r="D666" s="3">
        <v>43830</v>
      </c>
      <c r="E666">
        <v>89.197563577143796</v>
      </c>
      <c r="F666">
        <v>76.145928476076705</v>
      </c>
      <c r="G666">
        <v>70.150066401062404</v>
      </c>
      <c r="H666">
        <v>78.539185708989805</v>
      </c>
      <c r="I666">
        <v>399860</v>
      </c>
      <c r="J666">
        <v>57.894736842105203</v>
      </c>
      <c r="K666">
        <v>17</v>
      </c>
      <c r="L666" t="b">
        <v>1</v>
      </c>
      <c r="M666">
        <v>118842</v>
      </c>
      <c r="N666" s="2" t="s">
        <v>100</v>
      </c>
      <c r="O666" t="b">
        <v>1</v>
      </c>
      <c r="P666">
        <v>336340.8</v>
      </c>
      <c r="Q666">
        <v>80.269779293880703</v>
      </c>
      <c r="R666" s="2" t="s">
        <v>100</v>
      </c>
      <c r="S666">
        <v>63.636363636363598</v>
      </c>
      <c r="T666" s="2" t="s">
        <v>100</v>
      </c>
      <c r="U666" s="2" t="s">
        <v>100</v>
      </c>
      <c r="V666" t="b">
        <v>1</v>
      </c>
      <c r="W666" t="b">
        <v>1</v>
      </c>
      <c r="X666">
        <v>62.209302325581397</v>
      </c>
    </row>
    <row r="667" spans="3:24" x14ac:dyDescent="0.35">
      <c r="C667" s="2" t="s">
        <v>59</v>
      </c>
      <c r="D667" s="3">
        <v>43465</v>
      </c>
      <c r="E667">
        <v>87.868256901775098</v>
      </c>
      <c r="F667">
        <v>77.626596870823505</v>
      </c>
      <c r="G667">
        <v>57.424737487239597</v>
      </c>
      <c r="H667">
        <v>75.6676751069175</v>
      </c>
      <c r="I667">
        <v>406037</v>
      </c>
      <c r="J667">
        <v>47.368421052631497</v>
      </c>
      <c r="K667">
        <v>17</v>
      </c>
      <c r="L667" t="b">
        <v>1</v>
      </c>
      <c r="M667">
        <v>112386.67</v>
      </c>
      <c r="N667" s="2" t="s">
        <v>100</v>
      </c>
      <c r="O667" t="b">
        <v>1</v>
      </c>
      <c r="P667">
        <v>307692</v>
      </c>
      <c r="Q667">
        <v>82.220517481419506</v>
      </c>
      <c r="R667" s="2" t="s">
        <v>100</v>
      </c>
      <c r="S667">
        <v>65</v>
      </c>
      <c r="T667">
        <v>5.7</v>
      </c>
      <c r="U667" s="2" t="s">
        <v>100</v>
      </c>
      <c r="V667" t="b">
        <v>1</v>
      </c>
      <c r="W667" t="b">
        <v>1</v>
      </c>
      <c r="X667">
        <v>66.197183098591495</v>
      </c>
    </row>
    <row r="668" spans="3:24" x14ac:dyDescent="0.35">
      <c r="C668" s="2" t="s">
        <v>59</v>
      </c>
      <c r="D668" s="3">
        <v>43100</v>
      </c>
      <c r="E668">
        <v>85.450708879009895</v>
      </c>
      <c r="F668">
        <v>78.707021111800501</v>
      </c>
      <c r="G668">
        <v>48.955822724127501</v>
      </c>
      <c r="H668">
        <v>73.344463818727704</v>
      </c>
      <c r="I668">
        <v>420703</v>
      </c>
      <c r="J668">
        <v>52.941176470588204</v>
      </c>
      <c r="K668">
        <v>17</v>
      </c>
      <c r="L668" t="b">
        <v>1</v>
      </c>
      <c r="M668">
        <v>100681</v>
      </c>
      <c r="N668" s="2" t="s">
        <v>100</v>
      </c>
      <c r="O668" t="b">
        <v>1</v>
      </c>
      <c r="P668">
        <v>329714</v>
      </c>
      <c r="Q668">
        <v>85.960763534790999</v>
      </c>
      <c r="R668" s="2" t="s">
        <v>100</v>
      </c>
      <c r="S668">
        <v>67.241379310344797</v>
      </c>
      <c r="T668">
        <v>6.15</v>
      </c>
      <c r="U668" s="2" t="s">
        <v>100</v>
      </c>
      <c r="V668" t="b">
        <v>1</v>
      </c>
      <c r="W668" t="b">
        <v>1</v>
      </c>
      <c r="X668">
        <v>69.565217391304301</v>
      </c>
    </row>
    <row r="669" spans="3:24" x14ac:dyDescent="0.35">
      <c r="C669" s="2" t="s">
        <v>59</v>
      </c>
      <c r="D669" s="3">
        <v>42735</v>
      </c>
      <c r="E669">
        <v>91.235197782816797</v>
      </c>
      <c r="F669">
        <v>85.261567816823003</v>
      </c>
      <c r="G669">
        <v>35.483385770270999</v>
      </c>
      <c r="H669">
        <v>74.711679652139694</v>
      </c>
      <c r="I669">
        <v>450399</v>
      </c>
      <c r="J669">
        <v>50</v>
      </c>
      <c r="K669">
        <v>17</v>
      </c>
      <c r="L669" t="b">
        <v>1</v>
      </c>
      <c r="M669">
        <v>113298</v>
      </c>
      <c r="N669" s="2" t="s">
        <v>100</v>
      </c>
      <c r="O669" t="b">
        <v>1</v>
      </c>
      <c r="P669">
        <v>352858</v>
      </c>
      <c r="Q669">
        <v>86.761782529177495</v>
      </c>
      <c r="R669" s="2" t="s">
        <v>100</v>
      </c>
      <c r="S669">
        <v>80</v>
      </c>
      <c r="T669">
        <v>7.85</v>
      </c>
      <c r="U669" s="2" t="s">
        <v>100</v>
      </c>
      <c r="V669" t="b">
        <v>1</v>
      </c>
      <c r="W669" t="b">
        <v>1</v>
      </c>
      <c r="X669">
        <v>71.818181818181799</v>
      </c>
    </row>
    <row r="670" spans="3:24" x14ac:dyDescent="0.35">
      <c r="C670" s="2" t="s">
        <v>60</v>
      </c>
      <c r="D670" s="3">
        <v>46022</v>
      </c>
      <c r="E670">
        <v>37.0783837014705</v>
      </c>
      <c r="F670">
        <v>57.463772972101097</v>
      </c>
      <c r="G670">
        <v>82.5401285331384</v>
      </c>
      <c r="H670">
        <v>66.305568258040594</v>
      </c>
      <c r="I670">
        <v>1505</v>
      </c>
      <c r="J670">
        <v>81.818181818181799</v>
      </c>
      <c r="K670">
        <v>9</v>
      </c>
      <c r="L670" t="b">
        <v>1</v>
      </c>
      <c r="M670" s="2" t="s">
        <v>100</v>
      </c>
      <c r="N670" s="2" t="s">
        <v>100</v>
      </c>
      <c r="O670" t="b">
        <v>1</v>
      </c>
      <c r="P670" s="2" t="s">
        <v>100</v>
      </c>
      <c r="Q670">
        <v>69.909916611739803</v>
      </c>
      <c r="R670" t="b">
        <v>0</v>
      </c>
      <c r="S670">
        <v>85.750636132315506</v>
      </c>
      <c r="T670" s="2" t="s">
        <v>100</v>
      </c>
      <c r="U670" s="2" t="s">
        <v>100</v>
      </c>
      <c r="V670" t="b">
        <v>1</v>
      </c>
      <c r="W670" t="b">
        <v>1</v>
      </c>
      <c r="X670">
        <v>54.418604651162703</v>
      </c>
    </row>
    <row r="671" spans="3:24" x14ac:dyDescent="0.35">
      <c r="C671" s="2" t="s">
        <v>60</v>
      </c>
      <c r="D671" s="3">
        <v>45657</v>
      </c>
      <c r="E671">
        <v>46.121673128658898</v>
      </c>
      <c r="F671">
        <v>48.304485385328398</v>
      </c>
      <c r="G671">
        <v>81.881661072837503</v>
      </c>
      <c r="H671">
        <v>63.656868188156103</v>
      </c>
      <c r="I671">
        <v>2358</v>
      </c>
      <c r="J671">
        <v>70</v>
      </c>
      <c r="K671">
        <v>8</v>
      </c>
      <c r="L671" t="b">
        <v>1</v>
      </c>
      <c r="M671" s="2" t="s">
        <v>100</v>
      </c>
      <c r="N671" s="2" t="s">
        <v>100</v>
      </c>
      <c r="O671" t="b">
        <v>1</v>
      </c>
      <c r="P671" s="2" t="s">
        <v>100</v>
      </c>
      <c r="Q671">
        <v>70.2374273937494</v>
      </c>
      <c r="R671" t="b">
        <v>0</v>
      </c>
      <c r="S671">
        <v>86.2565445026178</v>
      </c>
      <c r="T671" s="2" t="s">
        <v>100</v>
      </c>
      <c r="U671" s="2" t="s">
        <v>100</v>
      </c>
      <c r="V671" t="b">
        <v>1</v>
      </c>
      <c r="W671" t="b">
        <v>1</v>
      </c>
      <c r="X671">
        <v>53.1941031941031</v>
      </c>
    </row>
    <row r="672" spans="3:24" x14ac:dyDescent="0.35">
      <c r="C672" s="2" t="s">
        <v>60</v>
      </c>
      <c r="D672" s="3">
        <v>45291</v>
      </c>
      <c r="E672">
        <v>41.385270421204901</v>
      </c>
      <c r="F672">
        <v>41.038251051936001</v>
      </c>
      <c r="G672">
        <v>82.188792474251898</v>
      </c>
      <c r="H672">
        <v>60.276169450789297</v>
      </c>
      <c r="I672">
        <v>2070</v>
      </c>
      <c r="J672">
        <v>72.727272727272705</v>
      </c>
      <c r="K672">
        <v>8</v>
      </c>
      <c r="L672" t="b">
        <v>1</v>
      </c>
      <c r="M672" s="2" t="s">
        <v>100</v>
      </c>
      <c r="N672" s="2" t="s">
        <v>100</v>
      </c>
      <c r="O672" t="b">
        <v>1</v>
      </c>
      <c r="P672" s="2" t="s">
        <v>100</v>
      </c>
      <c r="Q672">
        <v>71.154811864450707</v>
      </c>
      <c r="R672" t="b">
        <v>0</v>
      </c>
      <c r="S672">
        <v>41.8032786885245</v>
      </c>
      <c r="T672" s="2" t="s">
        <v>100</v>
      </c>
      <c r="U672" s="2" t="s">
        <v>100</v>
      </c>
      <c r="V672" t="b">
        <v>1</v>
      </c>
      <c r="W672" t="b">
        <v>1</v>
      </c>
      <c r="X672">
        <v>54.145728643216103</v>
      </c>
    </row>
    <row r="673" spans="3:24" x14ac:dyDescent="0.35">
      <c r="C673" s="2" t="s">
        <v>60</v>
      </c>
      <c r="D673" s="3">
        <v>44926</v>
      </c>
      <c r="E673">
        <v>35.774407273679401</v>
      </c>
      <c r="F673">
        <v>40.098421687269898</v>
      </c>
      <c r="G673">
        <v>77.964464464464399</v>
      </c>
      <c r="H673">
        <v>57.151247908930898</v>
      </c>
      <c r="I673">
        <v>2182</v>
      </c>
      <c r="J673">
        <v>72.727272727272705</v>
      </c>
      <c r="K673">
        <v>10</v>
      </c>
      <c r="L673" t="b">
        <v>1</v>
      </c>
      <c r="M673" s="2" t="s">
        <v>100</v>
      </c>
      <c r="N673" s="2" t="s">
        <v>100</v>
      </c>
      <c r="O673" t="b">
        <v>1</v>
      </c>
      <c r="P673" s="2" t="s">
        <v>100</v>
      </c>
      <c r="Q673">
        <v>73.521960578472303</v>
      </c>
      <c r="R673" t="b">
        <v>0</v>
      </c>
      <c r="S673">
        <v>42.9166666666666</v>
      </c>
      <c r="T673" s="2" t="s">
        <v>100</v>
      </c>
      <c r="U673" s="2" t="s">
        <v>100</v>
      </c>
      <c r="V673" t="b">
        <v>1</v>
      </c>
      <c r="W673" t="b">
        <v>1</v>
      </c>
      <c r="X673">
        <v>55.236907730673302</v>
      </c>
    </row>
    <row r="674" spans="3:24" x14ac:dyDescent="0.35">
      <c r="C674" s="2" t="s">
        <v>60</v>
      </c>
      <c r="D674" s="3">
        <v>44561</v>
      </c>
      <c r="E674">
        <v>49.246543921025598</v>
      </c>
      <c r="F674">
        <v>49.050414929225902</v>
      </c>
      <c r="G674">
        <v>69.416786595475102</v>
      </c>
      <c r="H674">
        <v>58.575124425293303</v>
      </c>
      <c r="I674">
        <v>2665</v>
      </c>
      <c r="J674">
        <v>69.230769230769198</v>
      </c>
      <c r="K674">
        <v>10</v>
      </c>
      <c r="L674" t="b">
        <v>1</v>
      </c>
      <c r="M674" s="2" t="s">
        <v>100</v>
      </c>
      <c r="N674" s="2" t="s">
        <v>100</v>
      </c>
      <c r="O674" t="b">
        <v>1</v>
      </c>
      <c r="P674" s="2" t="s">
        <v>100</v>
      </c>
      <c r="Q674">
        <v>75.621147307915805</v>
      </c>
      <c r="R674" t="b">
        <v>0</v>
      </c>
      <c r="S674">
        <v>43.809523809523803</v>
      </c>
      <c r="T674" s="2" t="s">
        <v>100</v>
      </c>
      <c r="U674">
        <v>83</v>
      </c>
      <c r="V674" t="b">
        <v>1</v>
      </c>
      <c r="W674" t="b">
        <v>1</v>
      </c>
      <c r="X674">
        <v>57.123287671232802</v>
      </c>
    </row>
    <row r="675" spans="3:24" x14ac:dyDescent="0.35">
      <c r="C675" s="2" t="s">
        <v>60</v>
      </c>
      <c r="D675" s="3">
        <v>44196</v>
      </c>
      <c r="E675">
        <v>45.636766121347499</v>
      </c>
      <c r="F675">
        <v>57.0017742811741</v>
      </c>
      <c r="G675">
        <v>81.362230362230306</v>
      </c>
      <c r="H675">
        <v>66.771649032364493</v>
      </c>
      <c r="I675">
        <v>2185</v>
      </c>
      <c r="J675">
        <v>63.636363636363598</v>
      </c>
      <c r="K675">
        <v>11</v>
      </c>
      <c r="L675" t="b">
        <v>1</v>
      </c>
      <c r="M675" s="2" t="s">
        <v>100</v>
      </c>
      <c r="N675" s="2" t="s">
        <v>100</v>
      </c>
      <c r="O675" t="b">
        <v>1</v>
      </c>
      <c r="P675" s="2" t="s">
        <v>100</v>
      </c>
      <c r="Q675">
        <v>78.200069035947806</v>
      </c>
      <c r="R675" t="b">
        <v>0</v>
      </c>
      <c r="S675">
        <v>43.7735849056603</v>
      </c>
      <c r="T675" s="2" t="s">
        <v>100</v>
      </c>
      <c r="U675">
        <v>86</v>
      </c>
      <c r="V675" t="b">
        <v>1</v>
      </c>
      <c r="W675" t="b">
        <v>1</v>
      </c>
      <c r="X675">
        <v>59.908536585365802</v>
      </c>
    </row>
    <row r="676" spans="3:24" x14ac:dyDescent="0.35">
      <c r="C676" s="2" t="s">
        <v>60</v>
      </c>
      <c r="D676" s="3">
        <v>43830</v>
      </c>
      <c r="E676">
        <v>65.633070643693202</v>
      </c>
      <c r="F676">
        <v>54.368314122535999</v>
      </c>
      <c r="G676">
        <v>61.5116923609908</v>
      </c>
      <c r="H676">
        <v>56.332764726968598</v>
      </c>
      <c r="I676">
        <v>2727</v>
      </c>
      <c r="J676">
        <v>44.4444444444444</v>
      </c>
      <c r="K676">
        <v>8</v>
      </c>
      <c r="L676" t="b">
        <v>1</v>
      </c>
      <c r="M676" s="2" t="s">
        <v>100</v>
      </c>
      <c r="N676" s="2" t="s">
        <v>100</v>
      </c>
      <c r="O676" t="b">
        <v>1</v>
      </c>
      <c r="P676" s="2" t="s">
        <v>100</v>
      </c>
      <c r="Q676">
        <v>80.269779293880703</v>
      </c>
      <c r="R676" s="2" t="s">
        <v>100</v>
      </c>
      <c r="S676">
        <v>45.238095238095198</v>
      </c>
      <c r="T676" s="2" t="s">
        <v>100</v>
      </c>
      <c r="U676" s="2" t="s">
        <v>100</v>
      </c>
      <c r="V676" t="b">
        <v>1</v>
      </c>
      <c r="W676" t="b">
        <v>1</v>
      </c>
      <c r="X676">
        <v>58.305084745762699</v>
      </c>
    </row>
    <row r="677" spans="3:24" x14ac:dyDescent="0.35">
      <c r="C677" s="2" t="s">
        <v>60</v>
      </c>
      <c r="D677" s="3">
        <v>43465</v>
      </c>
      <c r="E677">
        <v>60.555543734931803</v>
      </c>
      <c r="F677">
        <v>47.544149075388603</v>
      </c>
      <c r="G677">
        <v>64.670393266315202</v>
      </c>
      <c r="H677">
        <v>54.087413927983398</v>
      </c>
      <c r="I677">
        <v>2839</v>
      </c>
      <c r="J677">
        <v>44.4444444444444</v>
      </c>
      <c r="K677">
        <v>8</v>
      </c>
      <c r="L677" t="b">
        <v>1</v>
      </c>
      <c r="M677" s="2" t="s">
        <v>100</v>
      </c>
      <c r="N677" s="2" t="s">
        <v>100</v>
      </c>
      <c r="O677" t="b">
        <v>0</v>
      </c>
      <c r="P677" s="2" t="s">
        <v>100</v>
      </c>
      <c r="Q677">
        <v>82.220517481419506</v>
      </c>
      <c r="R677" s="2" t="s">
        <v>100</v>
      </c>
      <c r="S677">
        <v>46.534653465346501</v>
      </c>
      <c r="T677" s="2" t="s">
        <v>100</v>
      </c>
      <c r="U677">
        <v>82</v>
      </c>
      <c r="V677" t="b">
        <v>1</v>
      </c>
      <c r="W677" t="b">
        <v>1</v>
      </c>
      <c r="X677">
        <v>59.677419354838698</v>
      </c>
    </row>
    <row r="678" spans="3:24" x14ac:dyDescent="0.35">
      <c r="C678" s="2" t="s">
        <v>60</v>
      </c>
      <c r="D678" s="3">
        <v>43100</v>
      </c>
      <c r="E678">
        <v>62.038249192575698</v>
      </c>
      <c r="F678">
        <v>45.768633926528601</v>
      </c>
      <c r="G678">
        <v>56.420358339650399</v>
      </c>
      <c r="H678">
        <v>49.163915028465098</v>
      </c>
      <c r="I678">
        <v>1006</v>
      </c>
      <c r="J678">
        <v>44.4444444444444</v>
      </c>
      <c r="K678">
        <v>9</v>
      </c>
      <c r="L678" t="b">
        <v>1</v>
      </c>
      <c r="M678" s="2" t="s">
        <v>100</v>
      </c>
      <c r="N678" s="2" t="s">
        <v>100</v>
      </c>
      <c r="O678" t="b">
        <v>0</v>
      </c>
      <c r="P678" s="2" t="s">
        <v>100</v>
      </c>
      <c r="Q678">
        <v>85.960763534790999</v>
      </c>
      <c r="R678" s="2" t="s">
        <v>100</v>
      </c>
      <c r="S678">
        <v>45.454545454545404</v>
      </c>
      <c r="T678" s="2" t="s">
        <v>100</v>
      </c>
      <c r="U678" s="2" t="s">
        <v>100</v>
      </c>
      <c r="V678" t="b">
        <v>1</v>
      </c>
      <c r="W678" t="b">
        <v>1</v>
      </c>
      <c r="X678">
        <v>63.738738738738697</v>
      </c>
    </row>
    <row r="679" spans="3:24" x14ac:dyDescent="0.35">
      <c r="C679" s="2" t="s">
        <v>60</v>
      </c>
      <c r="D679" s="3">
        <v>42735</v>
      </c>
      <c r="E679">
        <v>39.164622934307701</v>
      </c>
      <c r="F679">
        <v>43.0173898433234</v>
      </c>
      <c r="G679">
        <v>63.1982392228294</v>
      </c>
      <c r="H679">
        <v>49.435980778355898</v>
      </c>
      <c r="I679">
        <v>2809</v>
      </c>
      <c r="J679">
        <v>44.4444444444444</v>
      </c>
      <c r="K679">
        <v>9</v>
      </c>
      <c r="L679" t="b">
        <v>0</v>
      </c>
      <c r="M679" s="2" t="s">
        <v>100</v>
      </c>
      <c r="N679" s="2" t="s">
        <v>100</v>
      </c>
      <c r="O679" t="b">
        <v>0</v>
      </c>
      <c r="P679" s="2" t="s">
        <v>100</v>
      </c>
      <c r="Q679">
        <v>18.497865737530599</v>
      </c>
      <c r="R679" s="2" t="s">
        <v>100</v>
      </c>
      <c r="S679">
        <v>48.571428571428498</v>
      </c>
      <c r="T679" s="2" t="s">
        <v>100</v>
      </c>
      <c r="U679">
        <v>86</v>
      </c>
      <c r="V679" t="b">
        <v>1</v>
      </c>
      <c r="W679" t="b">
        <v>1</v>
      </c>
      <c r="X679">
        <v>63.315217391304301</v>
      </c>
    </row>
    <row r="680" spans="3:24" x14ac:dyDescent="0.35">
      <c r="C680" s="2" t="s">
        <v>61</v>
      </c>
      <c r="D680" s="3">
        <v>45657</v>
      </c>
      <c r="E680">
        <v>93.850824322566297</v>
      </c>
      <c r="F680">
        <v>81.204169457909302</v>
      </c>
      <c r="G680">
        <v>84.119160009682801</v>
      </c>
      <c r="H680">
        <v>84.074684357058402</v>
      </c>
      <c r="I680">
        <v>93789</v>
      </c>
      <c r="J680">
        <v>85.714285714285694</v>
      </c>
      <c r="K680">
        <v>13</v>
      </c>
      <c r="L680" t="b">
        <v>1</v>
      </c>
      <c r="M680">
        <v>4219</v>
      </c>
      <c r="N680" s="2" t="s">
        <v>100</v>
      </c>
      <c r="O680" t="b">
        <v>1</v>
      </c>
      <c r="P680">
        <v>2024000</v>
      </c>
      <c r="Q680">
        <v>70.2374273937494</v>
      </c>
      <c r="R680" t="b">
        <v>0</v>
      </c>
      <c r="S680">
        <v>71.099999999999994</v>
      </c>
      <c r="T680">
        <v>0.09</v>
      </c>
      <c r="U680">
        <v>85</v>
      </c>
      <c r="V680" t="b">
        <v>1</v>
      </c>
      <c r="W680" t="b">
        <v>1</v>
      </c>
      <c r="X680">
        <v>51.080550098231797</v>
      </c>
    </row>
    <row r="681" spans="3:24" x14ac:dyDescent="0.35">
      <c r="C681" s="2" t="s">
        <v>61</v>
      </c>
      <c r="D681" s="3">
        <v>45291</v>
      </c>
      <c r="E681">
        <v>92.787032459507898</v>
      </c>
      <c r="F681">
        <v>84.097050682370295</v>
      </c>
      <c r="G681">
        <v>86.854359833842395</v>
      </c>
      <c r="H681">
        <v>86.341039352808096</v>
      </c>
      <c r="I681">
        <v>101829</v>
      </c>
      <c r="J681">
        <v>86.6666666666666</v>
      </c>
      <c r="K681">
        <v>13</v>
      </c>
      <c r="L681" t="b">
        <v>1</v>
      </c>
      <c r="M681">
        <v>4823</v>
      </c>
      <c r="N681" s="2" t="s">
        <v>100</v>
      </c>
      <c r="O681" t="b">
        <v>1</v>
      </c>
      <c r="P681">
        <v>2032800</v>
      </c>
      <c r="Q681">
        <v>71.154811864450707</v>
      </c>
      <c r="R681" t="b">
        <v>0</v>
      </c>
      <c r="S681">
        <v>71.884654994850607</v>
      </c>
      <c r="T681" s="2" t="s">
        <v>100</v>
      </c>
      <c r="U681">
        <v>86</v>
      </c>
      <c r="V681" t="b">
        <v>1</v>
      </c>
      <c r="W681" t="b">
        <v>1</v>
      </c>
      <c r="X681">
        <v>51.998001998002003</v>
      </c>
    </row>
    <row r="682" spans="3:24" x14ac:dyDescent="0.35">
      <c r="C682" s="2" t="s">
        <v>61</v>
      </c>
      <c r="D682" s="3">
        <v>44926</v>
      </c>
      <c r="E682">
        <v>93.382218261791195</v>
      </c>
      <c r="F682">
        <v>88.1830010658215</v>
      </c>
      <c r="G682">
        <v>85.609234234234194</v>
      </c>
      <c r="H682">
        <v>88.005132282669706</v>
      </c>
      <c r="I682">
        <v>119960</v>
      </c>
      <c r="J682">
        <v>78.571428571428498</v>
      </c>
      <c r="K682">
        <v>13</v>
      </c>
      <c r="L682" t="b">
        <v>1</v>
      </c>
      <c r="M682">
        <v>4944</v>
      </c>
      <c r="N682" s="2" t="s">
        <v>100</v>
      </c>
      <c r="O682" t="b">
        <v>1</v>
      </c>
      <c r="P682">
        <v>1485800</v>
      </c>
      <c r="Q682">
        <v>73.521960578472303</v>
      </c>
      <c r="R682" t="b">
        <v>0</v>
      </c>
      <c r="S682">
        <v>73.144329896907195</v>
      </c>
      <c r="T682" s="2" t="s">
        <v>100</v>
      </c>
      <c r="U682">
        <v>84</v>
      </c>
      <c r="V682" t="b">
        <v>1</v>
      </c>
      <c r="W682" t="b">
        <v>1</v>
      </c>
      <c r="X682">
        <v>52.667984189723299</v>
      </c>
    </row>
    <row r="683" spans="3:24" x14ac:dyDescent="0.35">
      <c r="C683" s="2" t="s">
        <v>61</v>
      </c>
      <c r="D683" s="3">
        <v>44561</v>
      </c>
      <c r="E683">
        <v>92.904252060855001</v>
      </c>
      <c r="F683">
        <v>87.6997662530257</v>
      </c>
      <c r="G683">
        <v>90.503911944909305</v>
      </c>
      <c r="H683">
        <v>89.458704658431202</v>
      </c>
      <c r="I683">
        <v>142480</v>
      </c>
      <c r="J683">
        <v>78.571428571428498</v>
      </c>
      <c r="K683">
        <v>12</v>
      </c>
      <c r="L683" t="b">
        <v>1</v>
      </c>
      <c r="M683">
        <v>4014</v>
      </c>
      <c r="N683" s="2" t="s">
        <v>100</v>
      </c>
      <c r="O683" t="b">
        <v>1</v>
      </c>
      <c r="P683">
        <v>1224000</v>
      </c>
      <c r="Q683">
        <v>75.621147307915805</v>
      </c>
      <c r="R683" t="b">
        <v>0</v>
      </c>
      <c r="S683">
        <v>74.103139013452903</v>
      </c>
      <c r="T683" s="2" t="s">
        <v>100</v>
      </c>
      <c r="U683">
        <v>82</v>
      </c>
      <c r="V683" t="b">
        <v>1</v>
      </c>
      <c r="W683" t="b">
        <v>1</v>
      </c>
      <c r="X683">
        <v>53.922594142259399</v>
      </c>
    </row>
    <row r="684" spans="3:24" x14ac:dyDescent="0.35">
      <c r="C684" s="2" t="s">
        <v>61</v>
      </c>
      <c r="D684" s="3">
        <v>44196</v>
      </c>
      <c r="E684">
        <v>93.297836700635699</v>
      </c>
      <c r="F684">
        <v>91.317851879025099</v>
      </c>
      <c r="G684">
        <v>77.016280016280007</v>
      </c>
      <c r="H684" s="2">
        <v>86.454403822748802</v>
      </c>
      <c r="I684" s="2">
        <v>166636</v>
      </c>
      <c r="J684">
        <v>78.571428571428498</v>
      </c>
      <c r="K684">
        <v>12</v>
      </c>
      <c r="L684" t="b">
        <v>1</v>
      </c>
      <c r="M684">
        <v>5167</v>
      </c>
      <c r="N684" s="2" t="s">
        <v>100</v>
      </c>
      <c r="O684" t="b">
        <v>1</v>
      </c>
      <c r="P684">
        <v>1079000</v>
      </c>
      <c r="Q684">
        <v>78.200069035947806</v>
      </c>
      <c r="R684" t="b">
        <v>0</v>
      </c>
      <c r="S684">
        <v>74.352331606217604</v>
      </c>
      <c r="T684" s="2" t="s">
        <v>100</v>
      </c>
      <c r="U684">
        <v>82</v>
      </c>
      <c r="V684" t="b">
        <v>1</v>
      </c>
      <c r="W684" t="b">
        <v>1</v>
      </c>
      <c r="X684">
        <v>55.594405594405501</v>
      </c>
    </row>
    <row r="685" spans="3:24" x14ac:dyDescent="0.35">
      <c r="C685" s="2" t="s">
        <v>61</v>
      </c>
      <c r="D685" s="3">
        <v>43830</v>
      </c>
      <c r="E685">
        <v>94.864343674311598</v>
      </c>
      <c r="F685">
        <v>90.252356363701395</v>
      </c>
      <c r="G685">
        <v>87.717535654483498</v>
      </c>
      <c r="H685" s="2">
        <v>89.841247571626994</v>
      </c>
      <c r="I685" s="2">
        <v>191719</v>
      </c>
      <c r="J685">
        <v>82.352941176470495</v>
      </c>
      <c r="K685">
        <v>12</v>
      </c>
      <c r="L685" t="b">
        <v>1</v>
      </c>
      <c r="M685">
        <v>10465</v>
      </c>
      <c r="N685" s="2" t="s">
        <v>100</v>
      </c>
      <c r="O685" t="b">
        <v>1</v>
      </c>
      <c r="P685">
        <v>1212000</v>
      </c>
      <c r="Q685">
        <v>80.269779293880703</v>
      </c>
      <c r="R685" t="b">
        <v>0</v>
      </c>
      <c r="S685">
        <v>76.370757180156602</v>
      </c>
      <c r="T685" s="2" t="s">
        <v>100</v>
      </c>
      <c r="U685">
        <v>77</v>
      </c>
      <c r="V685" t="b">
        <v>1</v>
      </c>
      <c r="W685" t="b">
        <v>1</v>
      </c>
      <c r="X685">
        <v>54.151404151404101</v>
      </c>
    </row>
    <row r="686" spans="3:24" x14ac:dyDescent="0.35">
      <c r="C686" s="2" t="s">
        <v>61</v>
      </c>
      <c r="D686" s="3">
        <v>43465</v>
      </c>
      <c r="E686">
        <v>87.667183665499493</v>
      </c>
      <c r="F686">
        <v>90.070308634645599</v>
      </c>
      <c r="G686">
        <v>88.799442907506702</v>
      </c>
      <c r="H686">
        <v>89.519066190798299</v>
      </c>
      <c r="I686">
        <v>211172</v>
      </c>
      <c r="J686">
        <v>73.3333333333333</v>
      </c>
      <c r="K686">
        <v>15</v>
      </c>
      <c r="L686" t="b">
        <v>0</v>
      </c>
      <c r="M686">
        <v>16999</v>
      </c>
      <c r="N686" s="2" t="s">
        <v>100</v>
      </c>
      <c r="O686" t="b">
        <v>1</v>
      </c>
      <c r="P686">
        <v>1046255</v>
      </c>
      <c r="Q686">
        <v>82.220517481419506</v>
      </c>
      <c r="R686" t="b">
        <v>0</v>
      </c>
      <c r="S686">
        <v>77.8106508875739</v>
      </c>
      <c r="T686" s="2" t="s">
        <v>100</v>
      </c>
      <c r="U686">
        <v>79</v>
      </c>
      <c r="V686" t="b">
        <v>1</v>
      </c>
      <c r="W686" t="b">
        <v>1</v>
      </c>
      <c r="X686">
        <v>56.7243675099866</v>
      </c>
    </row>
    <row r="687" spans="3:24" x14ac:dyDescent="0.35">
      <c r="C687" s="2" t="s">
        <v>61</v>
      </c>
      <c r="D687" s="3">
        <v>43100</v>
      </c>
      <c r="E687">
        <v>78.903855595006604</v>
      </c>
      <c r="F687">
        <v>86.747257145685694</v>
      </c>
      <c r="G687">
        <v>69.940394801784294</v>
      </c>
      <c r="H687">
        <v>76.6915163333029</v>
      </c>
      <c r="I687">
        <v>274175</v>
      </c>
      <c r="J687">
        <v>75</v>
      </c>
      <c r="K687">
        <v>14</v>
      </c>
      <c r="L687" t="b">
        <v>0</v>
      </c>
      <c r="M687">
        <v>13596</v>
      </c>
      <c r="N687" s="2" t="s">
        <v>100</v>
      </c>
      <c r="O687" t="b">
        <v>1</v>
      </c>
      <c r="P687">
        <v>1047910</v>
      </c>
      <c r="Q687">
        <v>85.960763534790999</v>
      </c>
      <c r="R687" s="2" t="s">
        <v>100</v>
      </c>
      <c r="S687">
        <v>78.171334431630896</v>
      </c>
      <c r="T687" s="2" t="s">
        <v>100</v>
      </c>
      <c r="U687">
        <v>78</v>
      </c>
      <c r="V687" t="b">
        <v>1</v>
      </c>
      <c r="W687" t="b">
        <v>1</v>
      </c>
      <c r="X687">
        <v>58.034433285509301</v>
      </c>
    </row>
    <row r="688" spans="3:24" x14ac:dyDescent="0.35">
      <c r="C688" s="2" t="s">
        <v>61</v>
      </c>
      <c r="D688" s="3">
        <v>42735</v>
      </c>
      <c r="E688">
        <v>76.460907822441101</v>
      </c>
      <c r="F688">
        <v>84.625415342962597</v>
      </c>
      <c r="G688">
        <v>58.680107081746399</v>
      </c>
      <c r="H688">
        <v>71.360595669431206</v>
      </c>
      <c r="I688">
        <v>334004</v>
      </c>
      <c r="J688">
        <v>73.3333333333333</v>
      </c>
      <c r="K688">
        <v>13</v>
      </c>
      <c r="L688" t="b">
        <v>0</v>
      </c>
      <c r="M688">
        <v>14035</v>
      </c>
      <c r="N688" s="2" t="s">
        <v>100</v>
      </c>
      <c r="O688" t="b">
        <v>1</v>
      </c>
      <c r="P688">
        <v>4772000</v>
      </c>
      <c r="Q688">
        <v>86.761782529177495</v>
      </c>
      <c r="R688" s="2" t="s">
        <v>100</v>
      </c>
      <c r="S688">
        <v>76.760563380281596</v>
      </c>
      <c r="T688" s="2" t="s">
        <v>100</v>
      </c>
      <c r="U688">
        <v>75</v>
      </c>
      <c r="V688" t="b">
        <v>1</v>
      </c>
      <c r="W688" t="b">
        <v>1</v>
      </c>
      <c r="X688">
        <v>58.215547703180199</v>
      </c>
    </row>
    <row r="689" spans="3:24" x14ac:dyDescent="0.35">
      <c r="C689" s="2" t="s">
        <v>61</v>
      </c>
      <c r="D689" s="3">
        <v>42369</v>
      </c>
      <c r="E689">
        <v>82.825064311909401</v>
      </c>
      <c r="F689">
        <v>83.179803173047006</v>
      </c>
      <c r="G689">
        <v>82.606603117724106</v>
      </c>
      <c r="H689">
        <v>80.565412090088998</v>
      </c>
      <c r="I689">
        <v>371124</v>
      </c>
      <c r="J689">
        <v>76.470588235294102</v>
      </c>
      <c r="K689">
        <v>14</v>
      </c>
      <c r="L689" t="b">
        <v>0</v>
      </c>
      <c r="M689">
        <v>17577</v>
      </c>
      <c r="N689" s="2" t="s">
        <v>100</v>
      </c>
      <c r="O689" t="b">
        <v>1</v>
      </c>
      <c r="P689" s="2" t="s">
        <v>100</v>
      </c>
      <c r="Q689">
        <v>87.208323109393802</v>
      </c>
      <c r="R689" s="2" t="s">
        <v>100</v>
      </c>
      <c r="S689">
        <v>71.126760563380202</v>
      </c>
      <c r="T689" s="2" t="s">
        <v>100</v>
      </c>
      <c r="U689">
        <v>75</v>
      </c>
      <c r="V689" t="b">
        <v>1</v>
      </c>
      <c r="W689" t="b">
        <v>1</v>
      </c>
      <c r="X689">
        <v>61.214953271028001</v>
      </c>
    </row>
    <row r="690" spans="3:24" x14ac:dyDescent="0.35">
      <c r="C690" s="2" t="s">
        <v>62</v>
      </c>
      <c r="D690" s="3">
        <v>45657</v>
      </c>
      <c r="E690">
        <v>59.770006686741503</v>
      </c>
      <c r="F690">
        <v>86.782305922210298</v>
      </c>
      <c r="G690">
        <v>59.779697998652203</v>
      </c>
      <c r="H690">
        <v>71.627462531342701</v>
      </c>
      <c r="I690">
        <v>84783</v>
      </c>
      <c r="J690">
        <v>53.846153846153797</v>
      </c>
      <c r="K690">
        <v>9</v>
      </c>
      <c r="L690" t="b">
        <v>1</v>
      </c>
      <c r="M690">
        <v>17146</v>
      </c>
      <c r="N690" s="2" t="s">
        <v>100</v>
      </c>
      <c r="O690" t="b">
        <v>1</v>
      </c>
      <c r="P690">
        <v>531624</v>
      </c>
      <c r="Q690">
        <v>70.2374273937494</v>
      </c>
      <c r="R690" t="b">
        <v>0</v>
      </c>
      <c r="S690">
        <v>94.9612403100775</v>
      </c>
      <c r="T690" s="2" t="s">
        <v>100</v>
      </c>
      <c r="U690" s="2" t="s">
        <v>100</v>
      </c>
      <c r="V690" t="b">
        <v>1</v>
      </c>
      <c r="W690" t="b">
        <v>1</v>
      </c>
      <c r="X690">
        <v>52.307692307692299</v>
      </c>
    </row>
    <row r="691" spans="3:24" x14ac:dyDescent="0.35">
      <c r="C691" s="2" t="s">
        <v>62</v>
      </c>
      <c r="D691" s="3">
        <v>45291</v>
      </c>
      <c r="E691">
        <v>51.976937672027702</v>
      </c>
      <c r="F691">
        <v>81.2967083008065</v>
      </c>
      <c r="G691">
        <v>77.0593535713964</v>
      </c>
      <c r="H691">
        <v>72.964093958553505</v>
      </c>
      <c r="I691">
        <v>146645</v>
      </c>
      <c r="J691">
        <v>63.636363636363598</v>
      </c>
      <c r="K691">
        <v>10</v>
      </c>
      <c r="L691" t="b">
        <v>1</v>
      </c>
      <c r="M691">
        <v>17547</v>
      </c>
      <c r="N691" s="2" t="s">
        <v>100</v>
      </c>
      <c r="O691" t="b">
        <v>1</v>
      </c>
      <c r="P691">
        <v>512238</v>
      </c>
      <c r="Q691">
        <v>71.154811864450707</v>
      </c>
      <c r="R691" t="b">
        <v>0</v>
      </c>
      <c r="S691">
        <v>95.634920634920604</v>
      </c>
      <c r="T691" s="2" t="s">
        <v>100</v>
      </c>
      <c r="U691" s="2" t="s">
        <v>100</v>
      </c>
      <c r="V691" t="b">
        <v>1</v>
      </c>
      <c r="W691" t="b">
        <v>1</v>
      </c>
      <c r="X691">
        <v>55.078125</v>
      </c>
    </row>
    <row r="692" spans="3:24" x14ac:dyDescent="0.35">
      <c r="C692" s="2" t="s">
        <v>62</v>
      </c>
      <c r="D692" s="3">
        <v>44926</v>
      </c>
      <c r="E692">
        <v>46.382626807155098</v>
      </c>
      <c r="F692">
        <v>75.785566233276697</v>
      </c>
      <c r="G692">
        <v>74.278716216216196</v>
      </c>
      <c r="H692">
        <v>68.317183126587906</v>
      </c>
      <c r="I692">
        <v>775034</v>
      </c>
      <c r="J692">
        <v>63.636363636363598</v>
      </c>
      <c r="K692">
        <v>10</v>
      </c>
      <c r="L692" t="b">
        <v>1</v>
      </c>
      <c r="M692">
        <v>50526</v>
      </c>
      <c r="N692" s="2" t="s">
        <v>100</v>
      </c>
      <c r="O692" t="b">
        <v>1</v>
      </c>
      <c r="P692">
        <v>741512</v>
      </c>
      <c r="Q692">
        <v>73.521960578472303</v>
      </c>
      <c r="R692" t="b">
        <v>0</v>
      </c>
      <c r="S692">
        <v>95.258620689655103</v>
      </c>
      <c r="T692" s="2" t="s">
        <v>100</v>
      </c>
      <c r="U692" s="2" t="s">
        <v>100</v>
      </c>
      <c r="V692" t="b">
        <v>1</v>
      </c>
      <c r="W692" t="b">
        <v>1</v>
      </c>
      <c r="X692">
        <v>58.8</v>
      </c>
    </row>
    <row r="693" spans="3:24" x14ac:dyDescent="0.35">
      <c r="C693" s="2" t="s">
        <v>62</v>
      </c>
      <c r="D693" s="3">
        <v>44561</v>
      </c>
      <c r="E693">
        <v>35.949813855785102</v>
      </c>
      <c r="F693">
        <v>82.650273224043602</v>
      </c>
      <c r="G693">
        <v>70.918498413189496</v>
      </c>
      <c r="H693">
        <v>67.765057212238005</v>
      </c>
      <c r="I693">
        <v>723360</v>
      </c>
      <c r="J693">
        <v>61.538461538461497</v>
      </c>
      <c r="K693">
        <v>12</v>
      </c>
      <c r="L693" t="b">
        <v>1</v>
      </c>
      <c r="M693">
        <v>162336</v>
      </c>
      <c r="N693" s="2" t="s">
        <v>100</v>
      </c>
      <c r="O693" t="b">
        <v>1</v>
      </c>
      <c r="P693" s="2" t="s">
        <v>100</v>
      </c>
      <c r="Q693">
        <v>75.621147307915805</v>
      </c>
      <c r="R693" t="b">
        <v>0</v>
      </c>
      <c r="S693">
        <v>94.4444444444444</v>
      </c>
      <c r="T693" s="2" t="s">
        <v>100</v>
      </c>
      <c r="U693" s="2" t="s">
        <v>100</v>
      </c>
      <c r="V693" t="b">
        <v>1</v>
      </c>
      <c r="W693" t="b">
        <v>1</v>
      </c>
      <c r="X693">
        <v>60.185185185185098</v>
      </c>
    </row>
    <row r="694" spans="3:24" x14ac:dyDescent="0.35">
      <c r="C694" s="2" t="s">
        <v>62</v>
      </c>
      <c r="D694" s="3">
        <v>44196</v>
      </c>
      <c r="E694">
        <v>47.526634332379899</v>
      </c>
      <c r="F694">
        <v>75.660218005687597</v>
      </c>
      <c r="G694">
        <v>74.965811965811895</v>
      </c>
      <c r="H694">
        <v>68.756214171057593</v>
      </c>
      <c r="I694">
        <v>836340</v>
      </c>
      <c r="J694">
        <v>60</v>
      </c>
      <c r="K694">
        <v>10</v>
      </c>
      <c r="L694" t="b">
        <v>1</v>
      </c>
      <c r="M694">
        <v>150475</v>
      </c>
      <c r="N694" s="2" t="s">
        <v>100</v>
      </c>
      <c r="O694" t="b">
        <v>1</v>
      </c>
      <c r="P694" s="2" t="s">
        <v>100</v>
      </c>
      <c r="Q694">
        <v>78.200069035947806</v>
      </c>
      <c r="R694" t="b">
        <v>0</v>
      </c>
      <c r="S694">
        <v>66.847826086956502</v>
      </c>
      <c r="T694">
        <v>1.5</v>
      </c>
      <c r="U694" s="2" t="s">
        <v>100</v>
      </c>
      <c r="V694" t="b">
        <v>1</v>
      </c>
      <c r="W694" t="b">
        <v>1</v>
      </c>
      <c r="X694">
        <v>61.792452830188601</v>
      </c>
    </row>
    <row r="695" spans="3:24" x14ac:dyDescent="0.35">
      <c r="C695" s="2" t="s">
        <v>62</v>
      </c>
      <c r="D695" s="3">
        <v>43830</v>
      </c>
      <c r="E695">
        <v>49.199743918053699</v>
      </c>
      <c r="F695">
        <v>55.956843340191703</v>
      </c>
      <c r="G695">
        <v>79.359778278191598</v>
      </c>
      <c r="H695">
        <v>61.929129608389097</v>
      </c>
      <c r="I695">
        <v>1028490</v>
      </c>
      <c r="J695">
        <v>60</v>
      </c>
      <c r="K695">
        <v>10</v>
      </c>
      <c r="L695" t="b">
        <v>1</v>
      </c>
      <c r="M695">
        <v>206852</v>
      </c>
      <c r="N695" s="2" t="s">
        <v>100</v>
      </c>
      <c r="O695" t="b">
        <v>1</v>
      </c>
      <c r="P695" s="2" t="s">
        <v>100</v>
      </c>
      <c r="Q695">
        <v>80.269779293880703</v>
      </c>
      <c r="R695" s="2" t="s">
        <v>100</v>
      </c>
      <c r="S695">
        <v>42.857142857142797</v>
      </c>
      <c r="T695">
        <v>2.15</v>
      </c>
      <c r="U695" s="2" t="s">
        <v>100</v>
      </c>
      <c r="V695" t="b">
        <v>1</v>
      </c>
      <c r="W695" t="b">
        <v>1</v>
      </c>
      <c r="X695">
        <v>59.139784946236503</v>
      </c>
    </row>
    <row r="696" spans="3:24" x14ac:dyDescent="0.35">
      <c r="C696" s="2" t="s">
        <v>62</v>
      </c>
      <c r="D696" s="3">
        <v>43465</v>
      </c>
      <c r="E696">
        <v>44.4956233813067</v>
      </c>
      <c r="F696">
        <v>60.070963133948403</v>
      </c>
      <c r="G696">
        <v>67.797776942897997</v>
      </c>
      <c r="H696">
        <v>58.874707087657399</v>
      </c>
      <c r="I696">
        <v>56372</v>
      </c>
      <c r="J696">
        <v>55.5555555555555</v>
      </c>
      <c r="K696">
        <v>9</v>
      </c>
      <c r="L696" t="b">
        <v>1</v>
      </c>
      <c r="M696" s="2" t="s">
        <v>100</v>
      </c>
      <c r="N696" s="2" t="s">
        <v>100</v>
      </c>
      <c r="O696" t="b">
        <v>1</v>
      </c>
      <c r="P696" s="2" t="s">
        <v>100</v>
      </c>
      <c r="Q696">
        <v>82.220517481419506</v>
      </c>
      <c r="R696" s="2" t="s">
        <v>100</v>
      </c>
      <c r="S696">
        <v>44.805194805194802</v>
      </c>
      <c r="T696">
        <v>2.35</v>
      </c>
      <c r="U696" s="2" t="s">
        <v>100</v>
      </c>
      <c r="V696" t="b">
        <v>1</v>
      </c>
      <c r="W696" t="b">
        <v>1</v>
      </c>
      <c r="X696">
        <v>56.172839506172799</v>
      </c>
    </row>
    <row r="697" spans="3:24" x14ac:dyDescent="0.35">
      <c r="C697" s="2" t="s">
        <v>62</v>
      </c>
      <c r="D697" s="3">
        <v>43100</v>
      </c>
      <c r="E697">
        <v>44.729109274563797</v>
      </c>
      <c r="F697">
        <v>60.085921771642198</v>
      </c>
      <c r="G697">
        <v>63.090614542818201</v>
      </c>
      <c r="H697">
        <v>57.412802075953799</v>
      </c>
      <c r="I697">
        <v>62216</v>
      </c>
      <c r="J697">
        <v>55.5555555555555</v>
      </c>
      <c r="K697">
        <v>8</v>
      </c>
      <c r="L697" t="b">
        <v>1</v>
      </c>
      <c r="M697" s="2" t="s">
        <v>100</v>
      </c>
      <c r="N697" s="2" t="s">
        <v>100</v>
      </c>
      <c r="O697" t="b">
        <v>1</v>
      </c>
      <c r="P697" s="2" t="s">
        <v>100</v>
      </c>
      <c r="Q697">
        <v>85.960763534790999</v>
      </c>
      <c r="R697" s="2" t="s">
        <v>100</v>
      </c>
      <c r="S697">
        <v>51.315789473684198</v>
      </c>
      <c r="T697">
        <v>6.5</v>
      </c>
      <c r="U697" s="2" t="s">
        <v>100</v>
      </c>
      <c r="V697" t="b">
        <v>1</v>
      </c>
      <c r="W697" t="b">
        <v>1</v>
      </c>
      <c r="X697">
        <v>60</v>
      </c>
    </row>
    <row r="698" spans="3:24" x14ac:dyDescent="0.35">
      <c r="C698" s="2" t="s">
        <v>62</v>
      </c>
      <c r="D698" s="3">
        <v>42735</v>
      </c>
      <c r="E698">
        <v>39.762379681734501</v>
      </c>
      <c r="F698">
        <v>30.876992679516601</v>
      </c>
      <c r="G698">
        <v>76.944168460561897</v>
      </c>
      <c r="H698">
        <v>45.310959856143</v>
      </c>
      <c r="I698">
        <v>21882</v>
      </c>
      <c r="J698">
        <v>55.5555555555555</v>
      </c>
      <c r="K698">
        <v>8</v>
      </c>
      <c r="L698" t="b">
        <v>1</v>
      </c>
      <c r="M698" s="2" t="s">
        <v>100</v>
      </c>
      <c r="N698" s="2" t="s">
        <v>100</v>
      </c>
      <c r="O698" t="b">
        <v>1</v>
      </c>
      <c r="P698" s="2" t="s">
        <v>100</v>
      </c>
      <c r="Q698">
        <v>18.497865737530599</v>
      </c>
      <c r="R698" s="2" t="s">
        <v>100</v>
      </c>
      <c r="S698">
        <v>23.076923076923102</v>
      </c>
      <c r="T698">
        <v>11</v>
      </c>
      <c r="U698" s="2" t="s">
        <v>100</v>
      </c>
      <c r="V698" t="b">
        <v>1</v>
      </c>
      <c r="W698" t="b">
        <v>1</v>
      </c>
      <c r="X698">
        <v>59.285714285714199</v>
      </c>
    </row>
    <row r="699" spans="3:24" x14ac:dyDescent="0.35">
      <c r="C699" s="2" t="s">
        <v>62</v>
      </c>
      <c r="D699" s="3">
        <v>42369</v>
      </c>
      <c r="E699">
        <v>33.030913978494603</v>
      </c>
      <c r="F699">
        <v>22.4969362341375</v>
      </c>
      <c r="G699">
        <v>68.601386692048905</v>
      </c>
      <c r="H699">
        <v>37.530547098363201</v>
      </c>
      <c r="I699">
        <v>23326</v>
      </c>
      <c r="J699">
        <v>37.5</v>
      </c>
      <c r="K699">
        <v>8</v>
      </c>
      <c r="L699" t="b">
        <v>0</v>
      </c>
      <c r="M699" s="2" t="s">
        <v>100</v>
      </c>
      <c r="N699" s="2" t="s">
        <v>100</v>
      </c>
      <c r="O699" t="b">
        <v>1</v>
      </c>
      <c r="P699" s="2" t="s">
        <v>100</v>
      </c>
      <c r="Q699">
        <v>18.9460637435099</v>
      </c>
      <c r="R699" s="2" t="s">
        <v>100</v>
      </c>
      <c r="S699">
        <v>18.918918918918902</v>
      </c>
      <c r="T699">
        <v>2</v>
      </c>
      <c r="U699" s="2" t="s">
        <v>100</v>
      </c>
      <c r="V699" t="b">
        <v>1</v>
      </c>
      <c r="W699" t="b">
        <v>1</v>
      </c>
      <c r="X699">
        <v>62.5</v>
      </c>
    </row>
    <row r="700" spans="3:24" x14ac:dyDescent="0.35">
      <c r="C700" s="2" t="s">
        <v>63</v>
      </c>
      <c r="D700" s="3">
        <v>46022</v>
      </c>
      <c r="E700">
        <v>44.144471229199098</v>
      </c>
      <c r="F700">
        <v>38.308267701746502</v>
      </c>
      <c r="G700">
        <v>75.650127923976598</v>
      </c>
      <c r="H700">
        <v>50.938259476954102</v>
      </c>
      <c r="I700">
        <v>37098</v>
      </c>
      <c r="J700">
        <v>75</v>
      </c>
      <c r="K700">
        <v>11</v>
      </c>
      <c r="L700" t="b">
        <v>1</v>
      </c>
      <c r="M700">
        <v>6846.2185099999997</v>
      </c>
      <c r="N700" s="2" t="s">
        <v>100</v>
      </c>
      <c r="O700" t="b">
        <v>1</v>
      </c>
      <c r="P700" s="2" t="s">
        <v>100</v>
      </c>
      <c r="Q700">
        <v>69.909916611739803</v>
      </c>
      <c r="R700" t="b">
        <v>0</v>
      </c>
      <c r="S700">
        <v>5.2592592592592498</v>
      </c>
      <c r="T700">
        <v>2.6</v>
      </c>
      <c r="U700" s="2" t="s">
        <v>100</v>
      </c>
      <c r="V700" t="b">
        <v>1</v>
      </c>
      <c r="W700" t="b">
        <v>1</v>
      </c>
      <c r="X700">
        <v>52.7165932452276</v>
      </c>
    </row>
    <row r="701" spans="3:24" x14ac:dyDescent="0.35">
      <c r="C701" s="2" t="s">
        <v>63</v>
      </c>
      <c r="D701" s="3">
        <v>45657</v>
      </c>
      <c r="E701">
        <v>49.807821211052001</v>
      </c>
      <c r="F701">
        <v>39.306966393255301</v>
      </c>
      <c r="G701">
        <v>62.4067940489509</v>
      </c>
      <c r="H701">
        <v>49.474930979757303</v>
      </c>
      <c r="I701">
        <v>39080</v>
      </c>
      <c r="J701">
        <v>61.538461538461497</v>
      </c>
      <c r="K701">
        <v>11</v>
      </c>
      <c r="L701" t="b">
        <v>1</v>
      </c>
      <c r="M701">
        <v>6280</v>
      </c>
      <c r="N701" s="2" t="s">
        <v>100</v>
      </c>
      <c r="O701" t="b">
        <v>1</v>
      </c>
      <c r="P701" s="2" t="s">
        <v>100</v>
      </c>
      <c r="Q701">
        <v>70.2374273937494</v>
      </c>
      <c r="R701" t="b">
        <v>0</v>
      </c>
      <c r="S701">
        <v>6.0089020771513297</v>
      </c>
      <c r="T701">
        <v>3.4</v>
      </c>
      <c r="U701" s="2" t="s">
        <v>100</v>
      </c>
      <c r="V701" t="b">
        <v>1</v>
      </c>
      <c r="W701" t="b">
        <v>1</v>
      </c>
      <c r="X701">
        <v>53.717201166180701</v>
      </c>
    </row>
    <row r="702" spans="3:24" x14ac:dyDescent="0.35">
      <c r="C702" s="2" t="s">
        <v>63</v>
      </c>
      <c r="D702" s="3">
        <v>45291</v>
      </c>
      <c r="E702">
        <v>50.671558153475601</v>
      </c>
      <c r="F702">
        <v>51.773784659799198</v>
      </c>
      <c r="G702">
        <v>68.233179250128401</v>
      </c>
      <c r="H702">
        <v>56.084876591592398</v>
      </c>
      <c r="I702">
        <v>40510</v>
      </c>
      <c r="J702">
        <v>75</v>
      </c>
      <c r="K702">
        <v>11</v>
      </c>
      <c r="L702" t="b">
        <v>1</v>
      </c>
      <c r="M702">
        <v>6781</v>
      </c>
      <c r="N702" s="2" t="s">
        <v>100</v>
      </c>
      <c r="O702" t="b">
        <v>1</v>
      </c>
      <c r="P702" s="2" t="s">
        <v>100</v>
      </c>
      <c r="Q702">
        <v>71.154811864450707</v>
      </c>
      <c r="R702" t="b">
        <v>0</v>
      </c>
      <c r="S702">
        <v>7.0254110612855003</v>
      </c>
      <c r="T702">
        <v>3.3</v>
      </c>
      <c r="U702" s="2" t="s">
        <v>100</v>
      </c>
      <c r="V702" t="b">
        <v>1</v>
      </c>
      <c r="W702" t="b">
        <v>1</v>
      </c>
      <c r="X702">
        <v>55.947136563876597</v>
      </c>
    </row>
    <row r="703" spans="3:24" x14ac:dyDescent="0.35">
      <c r="C703" s="2" t="s">
        <v>63</v>
      </c>
      <c r="D703" s="4">
        <v>44926</v>
      </c>
      <c r="E703" s="2">
        <v>51.835101282512198</v>
      </c>
      <c r="F703" s="2">
        <v>51.225721196070097</v>
      </c>
      <c r="G703" s="2">
        <v>59.013138138138103</v>
      </c>
      <c r="H703" s="2">
        <v>53.651925544557002</v>
      </c>
      <c r="I703" s="2">
        <v>36607</v>
      </c>
      <c r="J703" s="2">
        <v>72.727272727272705</v>
      </c>
      <c r="K703">
        <v>11</v>
      </c>
      <c r="L703" t="b">
        <v>1</v>
      </c>
      <c r="M703">
        <v>6513</v>
      </c>
      <c r="N703" s="2" t="s">
        <v>100</v>
      </c>
      <c r="O703" t="b">
        <v>1</v>
      </c>
      <c r="P703" s="2" t="s">
        <v>100</v>
      </c>
      <c r="Q703">
        <v>73.521960578472303</v>
      </c>
      <c r="R703" t="b">
        <v>0</v>
      </c>
      <c r="S703">
        <v>7.25308641975308</v>
      </c>
      <c r="T703">
        <v>0.4</v>
      </c>
      <c r="U703" s="2" t="s">
        <v>100</v>
      </c>
      <c r="V703" t="b">
        <v>1</v>
      </c>
      <c r="W703" t="b">
        <v>1</v>
      </c>
      <c r="X703">
        <v>58.382789317507402</v>
      </c>
    </row>
    <row r="704" spans="3:24" x14ac:dyDescent="0.35">
      <c r="C704" s="2" t="s">
        <v>63</v>
      </c>
      <c r="D704" s="4">
        <v>44561</v>
      </c>
      <c r="E704" s="2">
        <v>46.614382052807798</v>
      </c>
      <c r="F704" s="2">
        <v>49.997149130043901</v>
      </c>
      <c r="G704" s="2">
        <v>65.184151271245298</v>
      </c>
      <c r="H704" s="2">
        <v>53.166425548925602</v>
      </c>
      <c r="I704" s="2">
        <v>39893</v>
      </c>
      <c r="J704" s="2">
        <v>75</v>
      </c>
      <c r="K704">
        <v>11</v>
      </c>
      <c r="L704" t="b">
        <v>0</v>
      </c>
      <c r="M704">
        <v>6248</v>
      </c>
      <c r="N704" s="2" t="s">
        <v>100</v>
      </c>
      <c r="O704" t="b">
        <v>1</v>
      </c>
      <c r="P704" s="2" t="s">
        <v>100</v>
      </c>
      <c r="Q704">
        <v>75.621147307915805</v>
      </c>
      <c r="R704" s="2" t="s">
        <v>100</v>
      </c>
      <c r="S704">
        <v>6.7647058823529402</v>
      </c>
      <c r="T704">
        <v>0.4</v>
      </c>
      <c r="U704" s="2" t="s">
        <v>100</v>
      </c>
      <c r="V704" t="b">
        <v>1</v>
      </c>
      <c r="W704" t="b">
        <v>1</v>
      </c>
      <c r="X704">
        <v>57.948243992606201</v>
      </c>
    </row>
    <row r="705" spans="3:24" x14ac:dyDescent="0.35">
      <c r="C705" s="2" t="s">
        <v>63</v>
      </c>
      <c r="D705" s="4">
        <v>44196</v>
      </c>
      <c r="E705" s="2">
        <v>45.309065989023203</v>
      </c>
      <c r="F705" s="2">
        <v>53.3450246961267</v>
      </c>
      <c r="G705" s="2">
        <v>67.275132275132194</v>
      </c>
      <c r="H705" s="2">
        <v>54.565993499111897</v>
      </c>
      <c r="I705" s="2">
        <v>38319</v>
      </c>
      <c r="J705" s="2">
        <v>61.538461538461497</v>
      </c>
      <c r="K705">
        <v>12</v>
      </c>
      <c r="L705" t="b">
        <v>0</v>
      </c>
      <c r="M705">
        <v>5831</v>
      </c>
      <c r="N705" s="2" t="s">
        <v>100</v>
      </c>
      <c r="O705" t="b">
        <v>1</v>
      </c>
      <c r="P705" s="2" t="s">
        <v>100</v>
      </c>
      <c r="Q705">
        <v>78.200069035947806</v>
      </c>
      <c r="R705" s="2" t="s">
        <v>100</v>
      </c>
      <c r="S705">
        <v>7.0438799076212399</v>
      </c>
      <c r="T705">
        <v>0.8</v>
      </c>
      <c r="U705" s="2" t="s">
        <v>100</v>
      </c>
      <c r="V705" t="b">
        <v>1</v>
      </c>
      <c r="W705" t="b">
        <v>1</v>
      </c>
      <c r="X705">
        <v>59.748427672955899</v>
      </c>
    </row>
    <row r="706" spans="3:24" x14ac:dyDescent="0.35">
      <c r="C706" s="2" t="s">
        <v>63</v>
      </c>
      <c r="D706" s="3">
        <v>43830</v>
      </c>
      <c r="E706">
        <v>38.713604992168499</v>
      </c>
      <c r="F706">
        <v>46.978472211247102</v>
      </c>
      <c r="G706">
        <v>53.538656966337498</v>
      </c>
      <c r="H706">
        <v>46.022177807125701</v>
      </c>
      <c r="I706">
        <v>44022</v>
      </c>
      <c r="J706">
        <v>58.3333333333333</v>
      </c>
      <c r="K706">
        <v>11</v>
      </c>
      <c r="L706" t="b">
        <v>0</v>
      </c>
      <c r="M706">
        <v>6014</v>
      </c>
      <c r="N706" s="2" t="s">
        <v>100</v>
      </c>
      <c r="O706" t="b">
        <v>1</v>
      </c>
      <c r="P706" s="2" t="s">
        <v>100</v>
      </c>
      <c r="Q706">
        <v>80.269779293880703</v>
      </c>
      <c r="R706" s="2" t="s">
        <v>100</v>
      </c>
      <c r="S706">
        <v>8.2210242587601101</v>
      </c>
      <c r="T706">
        <v>2.6</v>
      </c>
      <c r="U706" s="2" t="s">
        <v>100</v>
      </c>
      <c r="V706" t="b">
        <v>1</v>
      </c>
      <c r="W706" t="b">
        <v>1</v>
      </c>
      <c r="X706">
        <v>58.145363408521298</v>
      </c>
    </row>
    <row r="707" spans="3:24" x14ac:dyDescent="0.35">
      <c r="C707" s="2" t="s">
        <v>63</v>
      </c>
      <c r="D707" s="3">
        <v>43465</v>
      </c>
      <c r="E707">
        <v>37.064802566842701</v>
      </c>
      <c r="F707">
        <v>49.832595017976303</v>
      </c>
      <c r="G707">
        <v>57.2220135022826</v>
      </c>
      <c r="H707">
        <v>47.573500330840702</v>
      </c>
      <c r="I707">
        <v>41991</v>
      </c>
      <c r="J707">
        <v>54.545454545454497</v>
      </c>
      <c r="K707">
        <v>10</v>
      </c>
      <c r="L707" t="b">
        <v>0</v>
      </c>
      <c r="M707">
        <v>5843</v>
      </c>
      <c r="N707" s="2" t="s">
        <v>100</v>
      </c>
      <c r="O707" t="b">
        <v>1</v>
      </c>
      <c r="P707" s="2" t="s">
        <v>100</v>
      </c>
      <c r="Q707">
        <v>82.220517481419506</v>
      </c>
      <c r="R707" s="2" t="s">
        <v>100</v>
      </c>
      <c r="S707">
        <v>37.5757575757575</v>
      </c>
      <c r="T707">
        <v>2.3940000000000001</v>
      </c>
      <c r="U707" s="2" t="s">
        <v>100</v>
      </c>
      <c r="V707" t="b">
        <v>1</v>
      </c>
      <c r="W707" t="b">
        <v>1</v>
      </c>
      <c r="X707">
        <v>59.090909090909101</v>
      </c>
    </row>
    <row r="708" spans="3:24" x14ac:dyDescent="0.35">
      <c r="C708" s="2" t="s">
        <v>63</v>
      </c>
      <c r="D708" s="3">
        <v>43100</v>
      </c>
      <c r="E708">
        <v>31.340615971956399</v>
      </c>
      <c r="F708">
        <v>42.119280687146798</v>
      </c>
      <c r="G708">
        <v>54.198246322496203</v>
      </c>
      <c r="H708">
        <v>41.875644984428099</v>
      </c>
      <c r="I708">
        <v>32058</v>
      </c>
      <c r="J708">
        <v>50</v>
      </c>
      <c r="K708">
        <v>10</v>
      </c>
      <c r="L708" t="b">
        <v>0</v>
      </c>
      <c r="M708">
        <v>1811</v>
      </c>
      <c r="N708" s="2" t="s">
        <v>100</v>
      </c>
      <c r="O708" t="b">
        <v>1</v>
      </c>
      <c r="P708" s="2" t="s">
        <v>100</v>
      </c>
      <c r="Q708">
        <v>85.960763534790999</v>
      </c>
      <c r="R708" s="2" t="s">
        <v>100</v>
      </c>
      <c r="S708">
        <v>0</v>
      </c>
      <c r="T708">
        <v>1.653</v>
      </c>
      <c r="U708" s="2" t="s">
        <v>100</v>
      </c>
      <c r="V708" t="b">
        <v>1</v>
      </c>
      <c r="W708" t="b">
        <v>1</v>
      </c>
      <c r="X708">
        <v>0</v>
      </c>
    </row>
    <row r="709" spans="3:24" x14ac:dyDescent="0.35">
      <c r="C709" s="2" t="s">
        <v>63</v>
      </c>
      <c r="D709" s="3">
        <v>42735</v>
      </c>
      <c r="E709">
        <v>20.541735420903802</v>
      </c>
      <c r="F709">
        <v>41.666773214322902</v>
      </c>
      <c r="G709">
        <v>52.626400618203903</v>
      </c>
      <c r="H709">
        <v>37.568236456917901</v>
      </c>
      <c r="I709">
        <v>30704</v>
      </c>
      <c r="J709">
        <v>50</v>
      </c>
      <c r="K709">
        <v>10</v>
      </c>
      <c r="L709" t="b">
        <v>0</v>
      </c>
      <c r="M709" s="2" t="s">
        <v>100</v>
      </c>
      <c r="N709" s="2" t="s">
        <v>100</v>
      </c>
      <c r="O709" t="b">
        <v>1</v>
      </c>
      <c r="P709">
        <v>307876.8</v>
      </c>
      <c r="Q709">
        <v>86.761782529177495</v>
      </c>
      <c r="R709" s="2" t="s">
        <v>100</v>
      </c>
      <c r="S709">
        <v>0</v>
      </c>
      <c r="T709">
        <v>2.2290000000000001</v>
      </c>
      <c r="U709" s="2" t="s">
        <v>100</v>
      </c>
      <c r="V709" t="b">
        <v>1</v>
      </c>
      <c r="W709" t="b">
        <v>1</v>
      </c>
      <c r="X709">
        <v>0</v>
      </c>
    </row>
    <row r="710" spans="3:24" x14ac:dyDescent="0.35">
      <c r="C710" s="2" t="s">
        <v>64</v>
      </c>
      <c r="D710" s="3">
        <v>45657</v>
      </c>
      <c r="E710">
        <v>84.626570249565006</v>
      </c>
      <c r="F710">
        <v>63.578725101262599</v>
      </c>
      <c r="G710">
        <v>22.591979234136101</v>
      </c>
      <c r="H710">
        <v>58.287907972569798</v>
      </c>
      <c r="I710">
        <v>408.46</v>
      </c>
      <c r="J710">
        <v>100</v>
      </c>
      <c r="K710">
        <v>7</v>
      </c>
      <c r="L710" t="b">
        <v>1</v>
      </c>
      <c r="M710">
        <v>4.3</v>
      </c>
      <c r="N710" s="2" t="s">
        <v>100</v>
      </c>
      <c r="O710" t="b">
        <v>1</v>
      </c>
      <c r="P710">
        <v>896</v>
      </c>
      <c r="Q710">
        <v>70.2374273937494</v>
      </c>
      <c r="R710" t="b">
        <v>0</v>
      </c>
      <c r="S710">
        <v>35.036496350364899</v>
      </c>
      <c r="T710" s="2" t="s">
        <v>100</v>
      </c>
      <c r="U710">
        <v>80</v>
      </c>
      <c r="V710" t="b">
        <v>1</v>
      </c>
      <c r="W710" t="b">
        <v>1</v>
      </c>
      <c r="X710">
        <v>51.990632318501099</v>
      </c>
    </row>
    <row r="711" spans="3:24" x14ac:dyDescent="0.35">
      <c r="C711" s="2" t="s">
        <v>64</v>
      </c>
      <c r="D711" s="3">
        <v>45291</v>
      </c>
      <c r="E711">
        <v>77.103879969523206</v>
      </c>
      <c r="F711">
        <v>63.746723393660098</v>
      </c>
      <c r="G711">
        <v>26.014381099126801</v>
      </c>
      <c r="H711">
        <v>56.614668416764303</v>
      </c>
      <c r="I711">
        <v>40.58</v>
      </c>
      <c r="J711">
        <v>100</v>
      </c>
      <c r="K711">
        <v>6</v>
      </c>
      <c r="L711" t="b">
        <v>1</v>
      </c>
      <c r="M711">
        <v>4.7</v>
      </c>
      <c r="N711" s="2" t="s">
        <v>100</v>
      </c>
      <c r="O711" t="b">
        <v>1</v>
      </c>
      <c r="P711">
        <v>742</v>
      </c>
      <c r="Q711">
        <v>71.154811864450707</v>
      </c>
      <c r="R711" t="b">
        <v>0</v>
      </c>
      <c r="S711">
        <v>36.083743842364498</v>
      </c>
      <c r="T711">
        <v>0</v>
      </c>
      <c r="U711">
        <v>80</v>
      </c>
      <c r="V711" t="b">
        <v>1</v>
      </c>
      <c r="W711" t="b">
        <v>1</v>
      </c>
      <c r="X711">
        <v>52.132701421800903</v>
      </c>
    </row>
    <row r="712" spans="3:24" x14ac:dyDescent="0.35">
      <c r="C712" s="2" t="s">
        <v>64</v>
      </c>
      <c r="D712" s="3">
        <v>44926</v>
      </c>
      <c r="E712">
        <v>49.266694444962702</v>
      </c>
      <c r="F712">
        <v>25.282294134176801</v>
      </c>
      <c r="G712">
        <v>30.149274274274202</v>
      </c>
      <c r="H712">
        <v>35.859718982982798</v>
      </c>
      <c r="I712">
        <v>62.65</v>
      </c>
      <c r="J712">
        <v>100</v>
      </c>
      <c r="K712">
        <v>6</v>
      </c>
      <c r="L712" t="b">
        <v>1</v>
      </c>
      <c r="M712">
        <v>5.3</v>
      </c>
      <c r="N712" s="2" t="s">
        <v>100</v>
      </c>
      <c r="O712" t="b">
        <v>1</v>
      </c>
      <c r="P712">
        <v>492</v>
      </c>
      <c r="Q712">
        <v>73.521960578472303</v>
      </c>
      <c r="R712" t="b">
        <v>0</v>
      </c>
      <c r="S712">
        <v>0</v>
      </c>
      <c r="T712">
        <v>0</v>
      </c>
      <c r="U712">
        <v>82</v>
      </c>
      <c r="V712" t="b">
        <v>1</v>
      </c>
      <c r="W712" t="b">
        <v>1</v>
      </c>
      <c r="X712">
        <v>0</v>
      </c>
    </row>
    <row r="713" spans="3:24" x14ac:dyDescent="0.35">
      <c r="C713" s="2" t="s">
        <v>64</v>
      </c>
      <c r="D713" s="3">
        <v>44561</v>
      </c>
      <c r="E713">
        <v>47.374459712053699</v>
      </c>
      <c r="F713">
        <v>31.475450776384399</v>
      </c>
      <c r="G713">
        <v>27.488800133757699</v>
      </c>
      <c r="H713">
        <v>36.1645290604948</v>
      </c>
      <c r="I713">
        <v>40.700000000000003</v>
      </c>
      <c r="J713">
        <v>100</v>
      </c>
      <c r="K713">
        <v>6</v>
      </c>
      <c r="L713" t="b">
        <v>1</v>
      </c>
      <c r="M713">
        <v>3.1</v>
      </c>
      <c r="N713" s="2" t="s">
        <v>100</v>
      </c>
      <c r="O713" t="b">
        <v>1</v>
      </c>
      <c r="P713">
        <v>410</v>
      </c>
      <c r="Q713">
        <v>75.621147307915805</v>
      </c>
      <c r="R713" t="b">
        <v>0</v>
      </c>
      <c r="S713">
        <v>0</v>
      </c>
      <c r="T713">
        <v>0</v>
      </c>
      <c r="U713">
        <v>74</v>
      </c>
      <c r="V713" t="b">
        <v>1</v>
      </c>
      <c r="W713" t="b">
        <v>1</v>
      </c>
      <c r="X713">
        <v>0</v>
      </c>
    </row>
    <row r="714" spans="3:24" x14ac:dyDescent="0.35">
      <c r="C714" s="2" t="s">
        <v>64</v>
      </c>
      <c r="D714" s="3">
        <v>44196</v>
      </c>
      <c r="E714">
        <v>53.507908830489498</v>
      </c>
      <c r="F714">
        <v>12.669266610351301</v>
      </c>
      <c r="G714">
        <v>15.834350834350801</v>
      </c>
      <c r="H714">
        <v>29.030322114016599</v>
      </c>
      <c r="I714">
        <v>326.13</v>
      </c>
      <c r="J714">
        <v>100</v>
      </c>
      <c r="K714">
        <v>6</v>
      </c>
      <c r="L714" t="b">
        <v>1</v>
      </c>
      <c r="M714">
        <v>3</v>
      </c>
      <c r="N714" s="2" t="s">
        <v>100</v>
      </c>
      <c r="O714" t="b">
        <v>0</v>
      </c>
      <c r="P714">
        <v>329</v>
      </c>
      <c r="Q714">
        <v>78.200069035947806</v>
      </c>
      <c r="R714" s="2" t="s">
        <v>100</v>
      </c>
      <c r="S714">
        <v>0</v>
      </c>
      <c r="T714">
        <v>0</v>
      </c>
      <c r="U714" s="2" t="s">
        <v>100</v>
      </c>
      <c r="V714" t="b">
        <v>0</v>
      </c>
      <c r="W714" t="b">
        <v>1</v>
      </c>
      <c r="X714">
        <v>0</v>
      </c>
    </row>
    <row r="715" spans="3:24" x14ac:dyDescent="0.35">
      <c r="C715" s="2" t="s">
        <v>64</v>
      </c>
      <c r="D715" s="3">
        <v>43830</v>
      </c>
      <c r="E715">
        <v>30.2569473537215</v>
      </c>
      <c r="F715">
        <v>14.254624632755799</v>
      </c>
      <c r="G715">
        <v>12.0580864946013</v>
      </c>
      <c r="H715">
        <v>19.5589375245894</v>
      </c>
      <c r="I715">
        <v>148</v>
      </c>
      <c r="J715">
        <v>87.5</v>
      </c>
      <c r="K715">
        <v>6</v>
      </c>
      <c r="L715" t="b">
        <v>1</v>
      </c>
      <c r="M715" s="2" t="s">
        <v>100</v>
      </c>
      <c r="N715" s="2" t="s">
        <v>100</v>
      </c>
      <c r="O715" t="b">
        <v>0</v>
      </c>
      <c r="P715">
        <v>210</v>
      </c>
      <c r="Q715">
        <v>80.269779293880703</v>
      </c>
      <c r="R715" s="2" t="s">
        <v>100</v>
      </c>
      <c r="S715">
        <v>0</v>
      </c>
      <c r="T715">
        <v>0</v>
      </c>
      <c r="U715" s="2" t="s">
        <v>100</v>
      </c>
      <c r="V715" t="b">
        <v>0</v>
      </c>
      <c r="W715" t="b">
        <v>1</v>
      </c>
      <c r="X715">
        <v>0</v>
      </c>
    </row>
    <row r="716" spans="3:24" x14ac:dyDescent="0.35">
      <c r="C716" s="2" t="s">
        <v>64</v>
      </c>
      <c r="D716" s="3">
        <v>43465</v>
      </c>
      <c r="E716">
        <v>12.1705963938973</v>
      </c>
      <c r="F716">
        <v>5.8835395373856896</v>
      </c>
      <c r="G716">
        <v>9.9529810899734699</v>
      </c>
      <c r="H716">
        <v>9.55577821240046</v>
      </c>
      <c r="I716">
        <v>0</v>
      </c>
      <c r="J716">
        <v>83.3333333333333</v>
      </c>
      <c r="K716">
        <v>6</v>
      </c>
      <c r="L716" t="b">
        <v>0</v>
      </c>
      <c r="M716" s="2" t="s">
        <v>100</v>
      </c>
      <c r="N716" s="2" t="s">
        <v>100</v>
      </c>
      <c r="O716" t="b">
        <v>0</v>
      </c>
      <c r="P716" s="2" t="s">
        <v>100</v>
      </c>
      <c r="Q716">
        <v>82.220517481419506</v>
      </c>
      <c r="R716" s="2" t="s">
        <v>100</v>
      </c>
      <c r="S716">
        <v>0</v>
      </c>
      <c r="T716" s="2" t="s">
        <v>100</v>
      </c>
      <c r="U716" s="2" t="s">
        <v>100</v>
      </c>
      <c r="V716" t="b">
        <v>0</v>
      </c>
      <c r="W716" t="b">
        <v>1</v>
      </c>
      <c r="X716">
        <v>0</v>
      </c>
    </row>
    <row r="717" spans="3:24" x14ac:dyDescent="0.35">
      <c r="C717" s="2" t="s">
        <v>64</v>
      </c>
      <c r="D717" s="3">
        <v>43100</v>
      </c>
      <c r="E717">
        <v>15.5510204081632</v>
      </c>
      <c r="F717">
        <v>2.3039153972050799</v>
      </c>
      <c r="G717">
        <v>9.2823288534973099</v>
      </c>
      <c r="H717">
        <v>9.5275405750831297</v>
      </c>
      <c r="I717">
        <v>0</v>
      </c>
      <c r="J717">
        <v>83.3333333333333</v>
      </c>
      <c r="K717">
        <v>5</v>
      </c>
      <c r="L717" t="b">
        <v>0</v>
      </c>
      <c r="M717" s="2" t="s">
        <v>100</v>
      </c>
      <c r="N717" s="2" t="s">
        <v>100</v>
      </c>
      <c r="O717" t="b">
        <v>0</v>
      </c>
      <c r="P717" s="2" t="s">
        <v>100</v>
      </c>
      <c r="Q717">
        <v>17.695432117423302</v>
      </c>
      <c r="R717" s="2" t="s">
        <v>100</v>
      </c>
      <c r="S717">
        <v>0</v>
      </c>
      <c r="T717" s="2" t="s">
        <v>100</v>
      </c>
      <c r="U717" s="2" t="s">
        <v>100</v>
      </c>
      <c r="V717" t="b">
        <v>0</v>
      </c>
      <c r="W717" t="b">
        <v>1</v>
      </c>
      <c r="X717">
        <v>0</v>
      </c>
    </row>
    <row r="718" spans="3:24" x14ac:dyDescent="0.35">
      <c r="C718" s="2" t="s">
        <v>64</v>
      </c>
      <c r="D718" s="3">
        <v>42735</v>
      </c>
      <c r="E718">
        <v>14.4257703081232</v>
      </c>
      <c r="F718">
        <v>2.0557555053986398</v>
      </c>
      <c r="G718">
        <v>9.7495446265938099</v>
      </c>
      <c r="H718">
        <v>9.1802369908857706</v>
      </c>
      <c r="I718">
        <v>0</v>
      </c>
      <c r="J718">
        <v>80</v>
      </c>
      <c r="K718">
        <v>5</v>
      </c>
      <c r="L718" t="b">
        <v>0</v>
      </c>
      <c r="M718" s="2" t="s">
        <v>100</v>
      </c>
      <c r="N718" s="2" t="s">
        <v>100</v>
      </c>
      <c r="O718" t="b">
        <v>0</v>
      </c>
      <c r="P718" s="2" t="s">
        <v>100</v>
      </c>
      <c r="Q718">
        <v>18.497865737530599</v>
      </c>
      <c r="R718" s="2" t="s">
        <v>100</v>
      </c>
      <c r="S718">
        <v>0</v>
      </c>
      <c r="T718" s="2" t="s">
        <v>100</v>
      </c>
      <c r="U718" s="2" t="s">
        <v>100</v>
      </c>
      <c r="V718" t="b">
        <v>0</v>
      </c>
      <c r="W718" t="b">
        <v>1</v>
      </c>
      <c r="X718">
        <v>0</v>
      </c>
    </row>
    <row r="719" spans="3:24" x14ac:dyDescent="0.35">
      <c r="C719" s="2" t="s">
        <v>64</v>
      </c>
      <c r="D719" s="3">
        <v>42369</v>
      </c>
      <c r="E719">
        <v>15.257142857142799</v>
      </c>
      <c r="F719">
        <v>2.2833853028554598</v>
      </c>
      <c r="G719">
        <v>5.40201005025125</v>
      </c>
      <c r="H719">
        <v>8.1614560379746095</v>
      </c>
      <c r="I719">
        <v>0</v>
      </c>
      <c r="J719">
        <v>50</v>
      </c>
      <c r="K719">
        <v>4</v>
      </c>
      <c r="L719" t="b">
        <v>0</v>
      </c>
      <c r="M719" s="2" t="s">
        <v>100</v>
      </c>
      <c r="N719" s="2" t="s">
        <v>100</v>
      </c>
      <c r="O719" t="b">
        <v>0</v>
      </c>
      <c r="P719" s="2" t="s">
        <v>100</v>
      </c>
      <c r="Q719">
        <v>18.9460637435099</v>
      </c>
      <c r="R719" s="2" t="s">
        <v>100</v>
      </c>
      <c r="S719">
        <v>0</v>
      </c>
      <c r="T719" s="2" t="s">
        <v>100</v>
      </c>
      <c r="U719" s="2" t="s">
        <v>100</v>
      </c>
      <c r="V719" t="b">
        <v>0</v>
      </c>
      <c r="W719" t="b">
        <v>1</v>
      </c>
      <c r="X719">
        <v>0</v>
      </c>
    </row>
    <row r="720" spans="3:24" x14ac:dyDescent="0.35">
      <c r="C720" s="2" t="s">
        <v>65</v>
      </c>
      <c r="D720" s="3">
        <v>45747</v>
      </c>
      <c r="E720">
        <v>63.153848135588703</v>
      </c>
      <c r="F720">
        <v>58.4723955037378</v>
      </c>
      <c r="G720">
        <v>79.795093201754298</v>
      </c>
      <c r="H720">
        <v>68.988806886161797</v>
      </c>
      <c r="I720">
        <v>320</v>
      </c>
      <c r="J720">
        <v>72.727272727272705</v>
      </c>
      <c r="K720">
        <v>9</v>
      </c>
      <c r="L720" t="b">
        <v>1</v>
      </c>
      <c r="M720" s="2" t="s">
        <v>100</v>
      </c>
      <c r="N720" s="2" t="s">
        <v>100</v>
      </c>
      <c r="O720" t="b">
        <v>1</v>
      </c>
      <c r="P720">
        <v>30619</v>
      </c>
      <c r="Q720">
        <v>69.909916611739803</v>
      </c>
      <c r="R720" t="b">
        <v>0</v>
      </c>
      <c r="S720">
        <v>31.5076560659599</v>
      </c>
      <c r="T720">
        <v>0</v>
      </c>
      <c r="U720">
        <v>91</v>
      </c>
      <c r="V720" t="b">
        <v>1</v>
      </c>
      <c r="W720" t="b">
        <v>1</v>
      </c>
      <c r="X720">
        <v>51.662844036697201</v>
      </c>
    </row>
    <row r="721" spans="3:24" x14ac:dyDescent="0.35">
      <c r="C721" s="2" t="s">
        <v>65</v>
      </c>
      <c r="D721" s="3">
        <v>45382</v>
      </c>
      <c r="E721">
        <v>63.824572993397403</v>
      </c>
      <c r="F721">
        <v>68.058568098291701</v>
      </c>
      <c r="G721">
        <v>80.760703513971507</v>
      </c>
      <c r="H721">
        <v>73.348410358338199</v>
      </c>
      <c r="I721">
        <v>463</v>
      </c>
      <c r="J721">
        <v>70</v>
      </c>
      <c r="K721">
        <v>9</v>
      </c>
      <c r="L721" t="b">
        <v>1</v>
      </c>
      <c r="M721" s="2" t="s">
        <v>100</v>
      </c>
      <c r="N721" s="2" t="s">
        <v>100</v>
      </c>
      <c r="O721" t="b">
        <v>1</v>
      </c>
      <c r="P721">
        <v>28476</v>
      </c>
      <c r="Q721">
        <v>70.2374273937494</v>
      </c>
      <c r="R721" t="b">
        <v>0</v>
      </c>
      <c r="S721">
        <v>32.159353348729702</v>
      </c>
      <c r="T721" s="2" t="s">
        <v>100</v>
      </c>
      <c r="U721">
        <v>97</v>
      </c>
      <c r="V721" t="b">
        <v>1</v>
      </c>
      <c r="W721" t="b">
        <v>1</v>
      </c>
      <c r="X721">
        <v>51.905829596412502</v>
      </c>
    </row>
    <row r="722" spans="3:24" x14ac:dyDescent="0.35">
      <c r="C722" s="2" t="s">
        <v>65</v>
      </c>
      <c r="D722" s="3">
        <v>45016</v>
      </c>
      <c r="E722">
        <v>65.391756480273102</v>
      </c>
      <c r="F722">
        <v>41.652319434487502</v>
      </c>
      <c r="G722">
        <v>73.317925012840206</v>
      </c>
      <c r="H722">
        <v>59.600233585068302</v>
      </c>
      <c r="I722">
        <v>674</v>
      </c>
      <c r="J722">
        <v>66.6666666666666</v>
      </c>
      <c r="K722">
        <v>9</v>
      </c>
      <c r="L722" t="b">
        <v>1</v>
      </c>
      <c r="M722" s="2" t="s">
        <v>100</v>
      </c>
      <c r="N722" s="2" t="s">
        <v>100</v>
      </c>
      <c r="O722" t="b">
        <v>1</v>
      </c>
      <c r="P722">
        <v>29602</v>
      </c>
      <c r="Q722">
        <v>71.154811864450707</v>
      </c>
      <c r="R722" t="b">
        <v>0</v>
      </c>
      <c r="S722">
        <v>32.397660818713398</v>
      </c>
      <c r="T722" s="2" t="s">
        <v>100</v>
      </c>
      <c r="U722">
        <v>91</v>
      </c>
      <c r="V722" t="b">
        <v>1</v>
      </c>
      <c r="W722" t="b">
        <v>1</v>
      </c>
      <c r="X722">
        <v>52.423900789176997</v>
      </c>
    </row>
    <row r="723" spans="3:24" x14ac:dyDescent="0.35">
      <c r="C723" s="2" t="s">
        <v>65</v>
      </c>
      <c r="D723" s="3">
        <v>44651</v>
      </c>
      <c r="E723">
        <v>63.5591613642639</v>
      </c>
      <c r="F723">
        <v>44.116690333804499</v>
      </c>
      <c r="G723">
        <v>79.673798798798799</v>
      </c>
      <c r="H723">
        <v>63.268805910523703</v>
      </c>
      <c r="I723">
        <v>679</v>
      </c>
      <c r="J723">
        <v>66.6666666666666</v>
      </c>
      <c r="K723">
        <v>9</v>
      </c>
      <c r="L723" t="b">
        <v>1</v>
      </c>
      <c r="M723" s="2" t="s">
        <v>100</v>
      </c>
      <c r="N723" s="2" t="s">
        <v>100</v>
      </c>
      <c r="O723" t="b">
        <v>1</v>
      </c>
      <c r="P723">
        <v>22395.84</v>
      </c>
      <c r="Q723">
        <v>73.521960578472303</v>
      </c>
      <c r="R723" t="b">
        <v>0</v>
      </c>
      <c r="S723">
        <v>33.293556085918802</v>
      </c>
      <c r="T723" s="2" t="s">
        <v>100</v>
      </c>
      <c r="U723">
        <v>95</v>
      </c>
      <c r="V723" t="b">
        <v>1</v>
      </c>
      <c r="W723" t="b">
        <v>1</v>
      </c>
      <c r="X723">
        <v>53.518728717366599</v>
      </c>
    </row>
    <row r="724" spans="3:24" x14ac:dyDescent="0.35">
      <c r="C724" s="2" t="s">
        <v>65</v>
      </c>
      <c r="D724" s="4">
        <v>44286</v>
      </c>
      <c r="E724" s="2">
        <v>30.446007774041401</v>
      </c>
      <c r="F724" s="2">
        <v>46.340020994065704</v>
      </c>
      <c r="G724" s="2">
        <v>80.315135406265597</v>
      </c>
      <c r="H724" s="2">
        <v>59.854786753229398</v>
      </c>
      <c r="I724" s="2">
        <v>336</v>
      </c>
      <c r="J724" s="2">
        <v>62.5</v>
      </c>
      <c r="K724">
        <v>8</v>
      </c>
      <c r="L724" t="b">
        <v>1</v>
      </c>
      <c r="M724" s="2" t="s">
        <v>100</v>
      </c>
      <c r="N724" s="2" t="s">
        <v>100</v>
      </c>
      <c r="O724" t="b">
        <v>1</v>
      </c>
      <c r="P724">
        <v>20476.133999999998</v>
      </c>
      <c r="Q724">
        <v>75.621147307915805</v>
      </c>
      <c r="R724" t="b">
        <v>0</v>
      </c>
      <c r="S724">
        <v>33.921015514809497</v>
      </c>
      <c r="T724" s="2" t="s">
        <v>100</v>
      </c>
      <c r="U724">
        <v>93</v>
      </c>
      <c r="V724" t="b">
        <v>1</v>
      </c>
      <c r="W724" t="b">
        <v>1</v>
      </c>
      <c r="X724">
        <v>54.298941798941797</v>
      </c>
    </row>
    <row r="725" spans="3:24" x14ac:dyDescent="0.35">
      <c r="C725" s="2" t="s">
        <v>65</v>
      </c>
      <c r="D725" s="4">
        <v>43921</v>
      </c>
      <c r="E725" s="2">
        <v>22.330473021189999</v>
      </c>
      <c r="F725" s="2">
        <v>41.796435688802902</v>
      </c>
      <c r="G725" s="2">
        <v>69.410256410256395</v>
      </c>
      <c r="H725" s="2">
        <v>51.871823210166703</v>
      </c>
      <c r="I725" s="2">
        <v>1029</v>
      </c>
      <c r="J725" s="2">
        <v>55.5555555555555</v>
      </c>
      <c r="K725">
        <v>8</v>
      </c>
      <c r="L725" t="b">
        <v>1</v>
      </c>
      <c r="M725" s="2" t="s">
        <v>100</v>
      </c>
      <c r="N725" s="2" t="s">
        <v>100</v>
      </c>
      <c r="O725" t="b">
        <v>1</v>
      </c>
      <c r="P725" s="2" t="s">
        <v>100</v>
      </c>
      <c r="Q725">
        <v>78.200069035947806</v>
      </c>
      <c r="R725" t="b">
        <v>0</v>
      </c>
      <c r="S725">
        <v>34.146341463414601</v>
      </c>
      <c r="T725" s="2" t="s">
        <v>100</v>
      </c>
      <c r="U725">
        <v>89</v>
      </c>
      <c r="V725" t="b">
        <v>1</v>
      </c>
      <c r="W725" t="b">
        <v>1</v>
      </c>
      <c r="X725">
        <v>55.097451274362797</v>
      </c>
    </row>
    <row r="726" spans="3:24" x14ac:dyDescent="0.35">
      <c r="C726" s="2" t="s">
        <v>65</v>
      </c>
      <c r="D726" s="3">
        <v>43555</v>
      </c>
      <c r="E726">
        <v>22.1797308882179</v>
      </c>
      <c r="F726">
        <v>40.7549148258326</v>
      </c>
      <c r="G726">
        <v>53.325480685951803</v>
      </c>
      <c r="H726" s="2">
        <v>43.993068867452799</v>
      </c>
      <c r="I726" s="2">
        <v>521</v>
      </c>
      <c r="J726">
        <v>66.6666666666666</v>
      </c>
      <c r="K726">
        <v>6</v>
      </c>
      <c r="L726" t="b">
        <v>1</v>
      </c>
      <c r="M726" s="2" t="s">
        <v>100</v>
      </c>
      <c r="N726" s="2" t="s">
        <v>100</v>
      </c>
      <c r="O726" t="b">
        <v>1</v>
      </c>
      <c r="P726" s="2" t="s">
        <v>100</v>
      </c>
      <c r="Q726">
        <v>80.269779293880703</v>
      </c>
      <c r="R726" s="2" t="s">
        <v>100</v>
      </c>
      <c r="S726">
        <v>35.140997830802597</v>
      </c>
      <c r="T726" s="2" t="s">
        <v>100</v>
      </c>
      <c r="U726">
        <v>92</v>
      </c>
      <c r="V726" t="b">
        <v>0</v>
      </c>
      <c r="W726" t="b">
        <v>1</v>
      </c>
      <c r="X726">
        <v>56.822612085769897</v>
      </c>
    </row>
    <row r="727" spans="3:24" x14ac:dyDescent="0.35">
      <c r="C727" s="2" t="s">
        <v>65</v>
      </c>
      <c r="D727" s="3">
        <v>43190</v>
      </c>
      <c r="E727">
        <v>21.225858057009798</v>
      </c>
      <c r="F727">
        <v>36.9187608340699</v>
      </c>
      <c r="G727">
        <v>45.700938480746501</v>
      </c>
      <c r="H727" s="2">
        <v>38.804044192528899</v>
      </c>
      <c r="I727" s="2">
        <v>731</v>
      </c>
      <c r="J727">
        <v>57.142857142857103</v>
      </c>
      <c r="K727">
        <v>6</v>
      </c>
      <c r="L727" t="b">
        <v>1</v>
      </c>
      <c r="M727" s="2" t="s">
        <v>100</v>
      </c>
      <c r="N727" s="2" t="s">
        <v>100</v>
      </c>
      <c r="O727" t="b">
        <v>1</v>
      </c>
      <c r="P727" s="2" t="s">
        <v>100</v>
      </c>
      <c r="Q727">
        <v>82.220517481419506</v>
      </c>
      <c r="R727" s="2" t="s">
        <v>100</v>
      </c>
      <c r="S727">
        <v>35.953608247422601</v>
      </c>
      <c r="T727" s="2" t="s">
        <v>100</v>
      </c>
      <c r="U727" s="2" t="s">
        <v>100</v>
      </c>
      <c r="V727" t="b">
        <v>0</v>
      </c>
      <c r="W727" t="b">
        <v>1</v>
      </c>
      <c r="X727">
        <v>57.093821510297403</v>
      </c>
    </row>
    <row r="728" spans="3:24" x14ac:dyDescent="0.35">
      <c r="C728" s="2" t="s">
        <v>65</v>
      </c>
      <c r="D728" s="3">
        <v>42825</v>
      </c>
      <c r="E728">
        <v>15.038136466707799</v>
      </c>
      <c r="F728">
        <v>33.050840563732798</v>
      </c>
      <c r="G728">
        <v>63.182006031365901</v>
      </c>
      <c r="H728" s="2">
        <v>44.492803964593001</v>
      </c>
      <c r="I728" s="2">
        <v>928</v>
      </c>
      <c r="J728">
        <v>66.6666666666666</v>
      </c>
      <c r="K728">
        <v>6</v>
      </c>
      <c r="L728" t="b">
        <v>1</v>
      </c>
      <c r="M728" s="2" t="s">
        <v>100</v>
      </c>
      <c r="N728" s="2" t="s">
        <v>100</v>
      </c>
      <c r="O728" t="b">
        <v>0</v>
      </c>
      <c r="P728" s="2" t="s">
        <v>100</v>
      </c>
      <c r="Q728">
        <v>85.960763534790999</v>
      </c>
      <c r="R728" s="2" t="s">
        <v>100</v>
      </c>
      <c r="S728">
        <v>35.779816513761403</v>
      </c>
      <c r="T728" s="2" t="s">
        <v>100</v>
      </c>
      <c r="U728" s="2" t="s">
        <v>100</v>
      </c>
      <c r="V728" t="b">
        <v>0</v>
      </c>
      <c r="W728" t="b">
        <v>1</v>
      </c>
      <c r="X728">
        <v>58.005249343831998</v>
      </c>
    </row>
    <row r="729" spans="3:24" x14ac:dyDescent="0.35">
      <c r="C729" s="2" t="s">
        <v>65</v>
      </c>
      <c r="D729" s="3">
        <v>42456</v>
      </c>
      <c r="E729">
        <v>17.007932115845701</v>
      </c>
      <c r="F729">
        <v>29.982276512778999</v>
      </c>
      <c r="G729">
        <v>24.274576364740302</v>
      </c>
      <c r="H729" s="2">
        <v>25.5401155254233</v>
      </c>
      <c r="I729" s="2">
        <v>1010</v>
      </c>
      <c r="J729">
        <v>55.5555555555555</v>
      </c>
      <c r="K729">
        <v>6</v>
      </c>
      <c r="L729" t="b">
        <v>1</v>
      </c>
      <c r="M729" s="2" t="s">
        <v>100</v>
      </c>
      <c r="N729" s="2" t="s">
        <v>100</v>
      </c>
      <c r="O729" t="b">
        <v>0</v>
      </c>
      <c r="P729" s="2" t="s">
        <v>100</v>
      </c>
      <c r="Q729">
        <v>86.761782529177495</v>
      </c>
      <c r="R729" s="2" t="s">
        <v>100</v>
      </c>
      <c r="S729">
        <v>34.798534798534703</v>
      </c>
      <c r="T729" s="2" t="s">
        <v>100</v>
      </c>
      <c r="U729" s="2" t="s">
        <v>100</v>
      </c>
      <c r="V729" t="b">
        <v>0</v>
      </c>
      <c r="W729" t="b">
        <v>1</v>
      </c>
      <c r="X729">
        <v>57.028753993610202</v>
      </c>
    </row>
    <row r="730" spans="3:24" x14ac:dyDescent="0.35">
      <c r="C730" s="2" t="s">
        <v>65</v>
      </c>
      <c r="D730" s="3">
        <v>42460</v>
      </c>
      <c r="E730" s="2" t="s">
        <v>100</v>
      </c>
      <c r="F730" s="2" t="s">
        <v>100</v>
      </c>
      <c r="G730" s="2" t="s">
        <v>100</v>
      </c>
      <c r="H730" s="2" t="s">
        <v>100</v>
      </c>
      <c r="I730" s="2" t="s">
        <v>100</v>
      </c>
      <c r="J730" s="2" t="s">
        <v>100</v>
      </c>
      <c r="K730" s="2" t="s">
        <v>100</v>
      </c>
      <c r="L730" s="2" t="s">
        <v>100</v>
      </c>
      <c r="M730" s="2" t="s">
        <v>100</v>
      </c>
      <c r="N730" s="2" t="s">
        <v>100</v>
      </c>
      <c r="O730" s="2" t="s">
        <v>100</v>
      </c>
      <c r="P730" s="2" t="s">
        <v>100</v>
      </c>
      <c r="Q730" s="2" t="s">
        <v>100</v>
      </c>
      <c r="R730" s="2" t="s">
        <v>100</v>
      </c>
      <c r="S730" s="2" t="s">
        <v>100</v>
      </c>
      <c r="T730" s="2" t="s">
        <v>100</v>
      </c>
      <c r="U730" s="2" t="s">
        <v>100</v>
      </c>
      <c r="V730" s="2" t="s">
        <v>100</v>
      </c>
      <c r="W730" s="2" t="s">
        <v>100</v>
      </c>
      <c r="X730" s="2" t="s">
        <v>100</v>
      </c>
    </row>
    <row r="731" spans="3:24" x14ac:dyDescent="0.35">
      <c r="C731" s="2" t="s">
        <v>66</v>
      </c>
      <c r="D731" s="3">
        <v>46022</v>
      </c>
      <c r="E731">
        <v>74.656067245131695</v>
      </c>
      <c r="F731">
        <v>91.717338593217505</v>
      </c>
      <c r="G731">
        <v>86.329571759259196</v>
      </c>
      <c r="H731" s="2">
        <v>86.171924052666995</v>
      </c>
      <c r="I731" s="2">
        <v>691000</v>
      </c>
      <c r="J731">
        <v>71.428571428571402</v>
      </c>
      <c r="K731">
        <v>13</v>
      </c>
      <c r="L731" t="b">
        <v>1</v>
      </c>
      <c r="M731">
        <v>39100</v>
      </c>
      <c r="N731" s="2" t="s">
        <v>100</v>
      </c>
      <c r="O731" t="b">
        <v>1</v>
      </c>
      <c r="P731" s="2" t="s">
        <v>100</v>
      </c>
      <c r="Q731">
        <v>69.909916611739803</v>
      </c>
      <c r="R731" t="b">
        <v>0</v>
      </c>
      <c r="S731">
        <v>96.751740139211094</v>
      </c>
      <c r="T731">
        <v>1.3</v>
      </c>
      <c r="U731" s="2" t="s">
        <v>100</v>
      </c>
      <c r="V731" t="b">
        <v>1</v>
      </c>
      <c r="W731" t="b">
        <v>1</v>
      </c>
      <c r="X731">
        <v>53.644646924829097</v>
      </c>
    </row>
    <row r="732" spans="3:24" x14ac:dyDescent="0.35">
      <c r="C732" s="2" t="s">
        <v>66</v>
      </c>
      <c r="D732" s="3">
        <v>45657</v>
      </c>
      <c r="E732">
        <v>83.033695050740405</v>
      </c>
      <c r="F732">
        <v>95.621356285941701</v>
      </c>
      <c r="G732">
        <v>86.237462953149205</v>
      </c>
      <c r="H732" s="2">
        <v>89.854278690504103</v>
      </c>
      <c r="I732" s="2">
        <v>755000</v>
      </c>
      <c r="J732">
        <v>76.923076923076906</v>
      </c>
      <c r="K732">
        <v>12</v>
      </c>
      <c r="L732" t="b">
        <v>1</v>
      </c>
      <c r="M732">
        <v>47300</v>
      </c>
      <c r="N732" s="2" t="s">
        <v>100</v>
      </c>
      <c r="O732" t="b">
        <v>1</v>
      </c>
      <c r="P732" s="2" t="s">
        <v>100</v>
      </c>
      <c r="Q732">
        <v>70.2374273937494</v>
      </c>
      <c r="R732" t="b">
        <v>0</v>
      </c>
      <c r="S732">
        <v>97.031963470319596</v>
      </c>
      <c r="T732">
        <v>1.4</v>
      </c>
      <c r="U732">
        <v>81</v>
      </c>
      <c r="V732" t="b">
        <v>1</v>
      </c>
      <c r="W732" t="b">
        <v>1</v>
      </c>
      <c r="X732">
        <v>53.7078651685393</v>
      </c>
    </row>
    <row r="733" spans="3:24" x14ac:dyDescent="0.35">
      <c r="C733" s="2" t="s">
        <v>66</v>
      </c>
      <c r="D733" s="3">
        <v>45291</v>
      </c>
      <c r="E733">
        <v>86.0244559816623</v>
      </c>
      <c r="F733">
        <v>96.576024490098803</v>
      </c>
      <c r="G733">
        <v>83.733769451878203</v>
      </c>
      <c r="H733" s="2">
        <v>90.200098586495798</v>
      </c>
      <c r="I733" s="2">
        <v>820000</v>
      </c>
      <c r="J733">
        <v>69.230769230769198</v>
      </c>
      <c r="K733">
        <v>12</v>
      </c>
      <c r="L733" t="b">
        <v>1</v>
      </c>
      <c r="M733">
        <v>49700</v>
      </c>
      <c r="N733" s="2" t="s">
        <v>100</v>
      </c>
      <c r="O733" t="b">
        <v>1</v>
      </c>
      <c r="P733" s="2" t="s">
        <v>100</v>
      </c>
      <c r="Q733">
        <v>71.154811864450707</v>
      </c>
      <c r="R733" t="b">
        <v>0</v>
      </c>
      <c r="S733">
        <v>97.191011235955102</v>
      </c>
      <c r="T733">
        <v>1.3</v>
      </c>
      <c r="U733">
        <v>81</v>
      </c>
      <c r="V733" t="b">
        <v>1</v>
      </c>
      <c r="W733" t="b">
        <v>1</v>
      </c>
      <c r="X733">
        <v>54.867256637168097</v>
      </c>
    </row>
    <row r="734" spans="3:24" x14ac:dyDescent="0.35">
      <c r="C734" s="2" t="s">
        <v>66</v>
      </c>
      <c r="D734" s="3">
        <v>44926</v>
      </c>
      <c r="E734">
        <v>85.714101089706105</v>
      </c>
      <c r="F734">
        <v>97.410554146001203</v>
      </c>
      <c r="G734">
        <v>88.299455705705697</v>
      </c>
      <c r="H734" s="2">
        <v>91.930468909023304</v>
      </c>
      <c r="I734" s="2">
        <v>891095</v>
      </c>
      <c r="J734">
        <v>80</v>
      </c>
      <c r="K734">
        <v>11</v>
      </c>
      <c r="L734" t="b">
        <v>1</v>
      </c>
      <c r="M734">
        <v>50300</v>
      </c>
      <c r="N734" s="2" t="s">
        <v>100</v>
      </c>
      <c r="O734" t="b">
        <v>1</v>
      </c>
      <c r="P734" s="2" t="s">
        <v>100</v>
      </c>
      <c r="Q734">
        <v>73.521960578472303</v>
      </c>
      <c r="R734" t="b">
        <v>0</v>
      </c>
      <c r="S734">
        <v>97.5694444444444</v>
      </c>
      <c r="T734">
        <v>1</v>
      </c>
      <c r="U734">
        <v>81</v>
      </c>
      <c r="V734" t="b">
        <v>1</v>
      </c>
      <c r="W734" t="b">
        <v>1</v>
      </c>
      <c r="X734">
        <v>57.795100222717103</v>
      </c>
    </row>
    <row r="735" spans="3:24" x14ac:dyDescent="0.35">
      <c r="C735" s="2" t="s">
        <v>66</v>
      </c>
      <c r="D735" s="3">
        <v>44561</v>
      </c>
      <c r="E735">
        <v>86.736770691994394</v>
      </c>
      <c r="F735">
        <v>96.864752188530105</v>
      </c>
      <c r="G735">
        <v>97.707594032779994</v>
      </c>
      <c r="H735">
        <v>94.824851972389396</v>
      </c>
      <c r="I735">
        <v>918000</v>
      </c>
      <c r="J735">
        <v>76.923076923076906</v>
      </c>
      <c r="K735">
        <v>12</v>
      </c>
      <c r="L735" t="b">
        <v>1</v>
      </c>
      <c r="M735">
        <v>55800</v>
      </c>
      <c r="N735" s="2" t="s">
        <v>100</v>
      </c>
      <c r="O735" t="b">
        <v>1</v>
      </c>
      <c r="P735" s="2" t="s">
        <v>100</v>
      </c>
      <c r="Q735">
        <v>75.621147307915805</v>
      </c>
      <c r="R735" t="b">
        <v>0</v>
      </c>
      <c r="S735">
        <v>97.780678851174898</v>
      </c>
      <c r="T735">
        <v>0.9</v>
      </c>
      <c r="U735">
        <v>78</v>
      </c>
      <c r="V735" t="b">
        <v>1</v>
      </c>
      <c r="W735" t="b">
        <v>1</v>
      </c>
      <c r="X735">
        <v>58.312655086848601</v>
      </c>
    </row>
    <row r="736" spans="3:24" x14ac:dyDescent="0.35">
      <c r="C736" s="2" t="s">
        <v>66</v>
      </c>
      <c r="D736" s="3">
        <v>44196</v>
      </c>
      <c r="E736">
        <v>83.888010688376994</v>
      </c>
      <c r="F736">
        <v>96.798512346724706</v>
      </c>
      <c r="G736">
        <v>96.901098901098905</v>
      </c>
      <c r="H736">
        <v>93.897099886975099</v>
      </c>
      <c r="I736">
        <v>1020000</v>
      </c>
      <c r="J736">
        <v>75</v>
      </c>
      <c r="K736">
        <v>12</v>
      </c>
      <c r="L736" t="b">
        <v>1</v>
      </c>
      <c r="M736">
        <v>63000</v>
      </c>
      <c r="N736" s="2" t="s">
        <v>100</v>
      </c>
      <c r="O736" t="b">
        <v>1</v>
      </c>
      <c r="P736" s="2" t="s">
        <v>100</v>
      </c>
      <c r="Q736">
        <v>78.200069035947806</v>
      </c>
      <c r="R736" t="b">
        <v>0</v>
      </c>
      <c r="S736">
        <v>97.470238095238102</v>
      </c>
      <c r="T736" s="2" t="s">
        <v>100</v>
      </c>
      <c r="U736">
        <v>84</v>
      </c>
      <c r="V736" t="b">
        <v>1</v>
      </c>
      <c r="W736" t="b">
        <v>1</v>
      </c>
      <c r="X736">
        <v>61.126005361930197</v>
      </c>
    </row>
    <row r="737" spans="3:24" x14ac:dyDescent="0.35">
      <c r="C737" s="2" t="s">
        <v>66</v>
      </c>
      <c r="D737" s="3">
        <v>43830</v>
      </c>
      <c r="E737">
        <v>81.129834109581793</v>
      </c>
      <c r="F737">
        <v>96.920062778363302</v>
      </c>
      <c r="G737">
        <v>85.605519949188704</v>
      </c>
      <c r="H737">
        <v>89.827243684506797</v>
      </c>
      <c r="I737">
        <v>1330000</v>
      </c>
      <c r="J737">
        <v>61.538461538461497</v>
      </c>
      <c r="K737">
        <v>11</v>
      </c>
      <c r="L737" t="b">
        <v>1</v>
      </c>
      <c r="M737">
        <v>65400</v>
      </c>
      <c r="N737" s="2" t="s">
        <v>100</v>
      </c>
      <c r="O737" t="b">
        <v>1</v>
      </c>
      <c r="P737" s="2" t="s">
        <v>100</v>
      </c>
      <c r="Q737">
        <v>80.269779293880703</v>
      </c>
      <c r="R737" t="b">
        <v>0</v>
      </c>
      <c r="S737">
        <v>96.935483870967701</v>
      </c>
      <c r="T737" s="2" t="s">
        <v>100</v>
      </c>
      <c r="U737">
        <v>78</v>
      </c>
      <c r="V737" t="b">
        <v>1</v>
      </c>
      <c r="W737" t="b">
        <v>1</v>
      </c>
      <c r="X737">
        <v>60.5263157894736</v>
      </c>
    </row>
    <row r="738" spans="3:24" x14ac:dyDescent="0.35">
      <c r="C738" s="2" t="s">
        <v>66</v>
      </c>
      <c r="D738" s="3">
        <v>43465</v>
      </c>
      <c r="E738">
        <v>80.5498524676606</v>
      </c>
      <c r="F738">
        <v>95.975332108125102</v>
      </c>
      <c r="G738">
        <v>91.581717651255502</v>
      </c>
      <c r="H738">
        <v>91.109559449299098</v>
      </c>
      <c r="I738">
        <v>1360000</v>
      </c>
      <c r="J738">
        <v>61.538461538461497</v>
      </c>
      <c r="K738">
        <v>11</v>
      </c>
      <c r="L738" t="b">
        <v>1</v>
      </c>
      <c r="M738">
        <v>127900</v>
      </c>
      <c r="N738" s="2" t="s">
        <v>100</v>
      </c>
      <c r="O738" t="b">
        <v>1</v>
      </c>
      <c r="P738" s="2" t="s">
        <v>100</v>
      </c>
      <c r="Q738">
        <v>82.220517481419506</v>
      </c>
      <c r="R738" t="b">
        <v>0</v>
      </c>
      <c r="S738">
        <v>97.3180076628352</v>
      </c>
      <c r="T738" s="2" t="s">
        <v>100</v>
      </c>
      <c r="U738">
        <v>78</v>
      </c>
      <c r="V738" t="b">
        <v>1</v>
      </c>
      <c r="W738" t="b">
        <v>1</v>
      </c>
      <c r="X738">
        <v>60.035211267605597</v>
      </c>
    </row>
    <row r="739" spans="3:24" x14ac:dyDescent="0.35">
      <c r="C739" s="2" t="s">
        <v>66</v>
      </c>
      <c r="D739" s="3">
        <v>43100</v>
      </c>
      <c r="E739">
        <v>80.019445794846803</v>
      </c>
      <c r="F739">
        <v>95.186602128891096</v>
      </c>
      <c r="G739">
        <v>85.160879719827193</v>
      </c>
      <c r="H739">
        <v>88.634631957246597</v>
      </c>
      <c r="I739">
        <v>1497000</v>
      </c>
      <c r="J739">
        <v>57.142857142857103</v>
      </c>
      <c r="K739">
        <v>12</v>
      </c>
      <c r="L739" t="b">
        <v>1</v>
      </c>
      <c r="M739">
        <v>140400</v>
      </c>
      <c r="N739" s="2" t="s">
        <v>100</v>
      </c>
      <c r="O739" t="b">
        <v>1</v>
      </c>
      <c r="P739" s="2" t="s">
        <v>100</v>
      </c>
      <c r="Q739">
        <v>85.960763534790999</v>
      </c>
      <c r="R739" s="2" t="s">
        <v>100</v>
      </c>
      <c r="S739">
        <v>97.685185185185105</v>
      </c>
      <c r="T739">
        <v>1.4</v>
      </c>
      <c r="U739">
        <v>79</v>
      </c>
      <c r="V739" t="b">
        <v>1</v>
      </c>
      <c r="W739" t="b">
        <v>1</v>
      </c>
      <c r="X739">
        <v>62.139917695473201</v>
      </c>
    </row>
    <row r="740" spans="3:24" x14ac:dyDescent="0.35">
      <c r="C740" s="2" t="s">
        <v>66</v>
      </c>
      <c r="D740" s="3">
        <v>42735</v>
      </c>
      <c r="E740">
        <v>79.102582810447899</v>
      </c>
      <c r="F740">
        <v>93.783929868865599</v>
      </c>
      <c r="G740">
        <v>90.331870618755801</v>
      </c>
      <c r="H740">
        <v>89.378923884819201</v>
      </c>
      <c r="I740">
        <v>1589000</v>
      </c>
      <c r="J740">
        <v>62.5</v>
      </c>
      <c r="K740">
        <v>12</v>
      </c>
      <c r="L740" t="b">
        <v>1</v>
      </c>
      <c r="M740">
        <v>143000</v>
      </c>
      <c r="N740" s="2" t="s">
        <v>100</v>
      </c>
      <c r="O740" t="b">
        <v>1</v>
      </c>
      <c r="P740" s="2" t="s">
        <v>100</v>
      </c>
      <c r="Q740">
        <v>86.761782529177495</v>
      </c>
      <c r="R740" s="2" t="s">
        <v>100</v>
      </c>
      <c r="S740">
        <v>96.370967741935402</v>
      </c>
      <c r="T740">
        <v>1.7</v>
      </c>
      <c r="U740" s="2" t="s">
        <v>100</v>
      </c>
      <c r="V740" t="b">
        <v>1</v>
      </c>
      <c r="W740" t="b">
        <v>1</v>
      </c>
      <c r="X740">
        <v>60.404624277456598</v>
      </c>
    </row>
    <row r="741" spans="3:24" x14ac:dyDescent="0.35">
      <c r="C741" s="2" t="s">
        <v>67</v>
      </c>
      <c r="D741" s="3">
        <v>45657</v>
      </c>
      <c r="E741">
        <v>67.925023329113799</v>
      </c>
      <c r="F741">
        <v>85.611286291587803</v>
      </c>
      <c r="G741">
        <v>96.427792171256201</v>
      </c>
      <c r="H741">
        <v>82.042275669516897</v>
      </c>
      <c r="I741">
        <v>757024</v>
      </c>
      <c r="J741">
        <v>81.818181818181799</v>
      </c>
      <c r="K741">
        <v>9</v>
      </c>
      <c r="L741" t="b">
        <v>1</v>
      </c>
      <c r="M741">
        <v>20459942907</v>
      </c>
      <c r="N741" s="2" t="s">
        <v>100</v>
      </c>
      <c r="O741" t="b">
        <v>1</v>
      </c>
      <c r="P741">
        <v>276115.59999999998</v>
      </c>
      <c r="Q741">
        <v>70.2374273937494</v>
      </c>
      <c r="R741" t="b">
        <v>1</v>
      </c>
      <c r="S741">
        <v>20.855148342059302</v>
      </c>
      <c r="T741">
        <v>0.13</v>
      </c>
      <c r="U741" s="2" t="s">
        <v>100</v>
      </c>
      <c r="V741" t="b">
        <v>1</v>
      </c>
      <c r="W741" t="b">
        <v>1</v>
      </c>
      <c r="X741">
        <v>56.574675324675297</v>
      </c>
    </row>
    <row r="742" spans="3:24" x14ac:dyDescent="0.35">
      <c r="C742" s="2" t="s">
        <v>67</v>
      </c>
      <c r="D742" s="3">
        <v>45291</v>
      </c>
      <c r="E742">
        <v>74.1875772970875</v>
      </c>
      <c r="F742">
        <v>84.119497094880401</v>
      </c>
      <c r="G742">
        <v>93.379378080537705</v>
      </c>
      <c r="H742">
        <v>82.897591596364407</v>
      </c>
      <c r="I742">
        <v>627628</v>
      </c>
      <c r="J742">
        <v>81.818181818181799</v>
      </c>
      <c r="K742">
        <v>10</v>
      </c>
      <c r="L742" t="b">
        <v>1</v>
      </c>
      <c r="M742">
        <v>167030137</v>
      </c>
      <c r="N742" s="2" t="s">
        <v>100</v>
      </c>
      <c r="O742" t="b">
        <v>1</v>
      </c>
      <c r="P742">
        <v>183621</v>
      </c>
      <c r="Q742">
        <v>71.154811864450707</v>
      </c>
      <c r="R742" t="b">
        <v>0</v>
      </c>
      <c r="S742">
        <v>20.2752293577981</v>
      </c>
      <c r="T742">
        <v>0.08</v>
      </c>
      <c r="U742" s="2" t="s">
        <v>100</v>
      </c>
      <c r="V742" t="b">
        <v>1</v>
      </c>
      <c r="W742" t="b">
        <v>1</v>
      </c>
      <c r="X742">
        <v>59.380234505862603</v>
      </c>
    </row>
    <row r="743" spans="3:24" x14ac:dyDescent="0.35">
      <c r="C743" s="2" t="s">
        <v>67</v>
      </c>
      <c r="D743" s="3">
        <v>44926</v>
      </c>
      <c r="E743">
        <v>77.505608188339494</v>
      </c>
      <c r="F743">
        <v>83.369596170805593</v>
      </c>
      <c r="G743">
        <v>97.693850100100093</v>
      </c>
      <c r="H743">
        <v>84.823152525235102</v>
      </c>
      <c r="I743">
        <v>670508</v>
      </c>
      <c r="J743">
        <v>92.307692307692307</v>
      </c>
      <c r="K743">
        <v>9</v>
      </c>
      <c r="L743" t="b">
        <v>1</v>
      </c>
      <c r="M743">
        <v>185482943</v>
      </c>
      <c r="N743" s="2" t="s">
        <v>100</v>
      </c>
      <c r="O743" t="b">
        <v>1</v>
      </c>
      <c r="P743">
        <v>181291</v>
      </c>
      <c r="Q743">
        <v>73.521960578472303</v>
      </c>
      <c r="R743" t="b">
        <v>0</v>
      </c>
      <c r="S743">
        <v>21.176470588235201</v>
      </c>
      <c r="T743">
        <v>0.05</v>
      </c>
      <c r="U743" s="2" t="s">
        <v>100</v>
      </c>
      <c r="V743" t="b">
        <v>1</v>
      </c>
      <c r="W743" t="b">
        <v>1</v>
      </c>
      <c r="X743">
        <v>62.155172413793103</v>
      </c>
    </row>
    <row r="744" spans="3:24" x14ac:dyDescent="0.35">
      <c r="C744" s="2" t="s">
        <v>67</v>
      </c>
      <c r="D744" s="3">
        <v>44561</v>
      </c>
      <c r="E744">
        <v>78.202864244927397</v>
      </c>
      <c r="F744">
        <v>86.881035938609202</v>
      </c>
      <c r="G744">
        <v>69.2345573103444</v>
      </c>
      <c r="H744">
        <v>79.493130822568901</v>
      </c>
      <c r="I744">
        <v>853151</v>
      </c>
      <c r="J744">
        <v>71.428571428571402</v>
      </c>
      <c r="K744">
        <v>11</v>
      </c>
      <c r="L744" t="b">
        <v>1</v>
      </c>
      <c r="M744">
        <v>216274864</v>
      </c>
      <c r="N744" s="2" t="s">
        <v>100</v>
      </c>
      <c r="O744" t="b">
        <v>1</v>
      </c>
      <c r="P744">
        <v>148775</v>
      </c>
      <c r="Q744">
        <v>75.621147307915805</v>
      </c>
      <c r="R744" t="b">
        <v>0</v>
      </c>
      <c r="S744">
        <v>23.5507246376811</v>
      </c>
      <c r="T744">
        <v>0.22</v>
      </c>
      <c r="U744" s="2" t="s">
        <v>100</v>
      </c>
      <c r="V744" t="b">
        <v>1</v>
      </c>
      <c r="W744" t="b">
        <v>1</v>
      </c>
      <c r="X744">
        <v>63.253012048192701</v>
      </c>
    </row>
    <row r="745" spans="3:24" x14ac:dyDescent="0.35">
      <c r="C745" s="2" t="s">
        <v>67</v>
      </c>
      <c r="D745" s="3">
        <v>44196</v>
      </c>
      <c r="E745">
        <v>78.031162351445502</v>
      </c>
      <c r="F745">
        <v>85.484226899171702</v>
      </c>
      <c r="G745">
        <v>81.862026862026795</v>
      </c>
      <c r="H745">
        <v>81.971421087439893</v>
      </c>
      <c r="I745">
        <v>505533</v>
      </c>
      <c r="J745">
        <v>83.3333333333333</v>
      </c>
      <c r="K745">
        <v>10</v>
      </c>
      <c r="L745" t="b">
        <v>1</v>
      </c>
      <c r="M745">
        <v>151107195</v>
      </c>
      <c r="N745" s="2" t="s">
        <v>100</v>
      </c>
      <c r="O745" t="b">
        <v>1</v>
      </c>
      <c r="P745">
        <v>164900</v>
      </c>
      <c r="Q745">
        <v>78.200069035947806</v>
      </c>
      <c r="R745" s="2" t="s">
        <v>100</v>
      </c>
      <c r="S745">
        <v>24.175824175824101</v>
      </c>
      <c r="T745">
        <v>0.26</v>
      </c>
      <c r="U745" s="2" t="s">
        <v>100</v>
      </c>
      <c r="V745" t="b">
        <v>1</v>
      </c>
      <c r="W745" t="b">
        <v>1</v>
      </c>
      <c r="X745">
        <v>64.013452914798194</v>
      </c>
    </row>
    <row r="746" spans="3:24" x14ac:dyDescent="0.35">
      <c r="C746" s="2" t="s">
        <v>67</v>
      </c>
      <c r="D746" s="3">
        <v>43830</v>
      </c>
      <c r="E746">
        <v>54.551090822432101</v>
      </c>
      <c r="F746">
        <v>55.707050504025503</v>
      </c>
      <c r="G746">
        <v>77.274669438189207</v>
      </c>
      <c r="H746">
        <v>60.596455429398397</v>
      </c>
      <c r="I746">
        <v>252300</v>
      </c>
      <c r="J746">
        <v>88.8888888888888</v>
      </c>
      <c r="K746">
        <v>9</v>
      </c>
      <c r="L746" t="b">
        <v>1</v>
      </c>
      <c r="M746">
        <v>93012954</v>
      </c>
      <c r="N746" s="2" t="s">
        <v>100</v>
      </c>
      <c r="O746" t="b">
        <v>1</v>
      </c>
      <c r="P746">
        <v>53780</v>
      </c>
      <c r="Q746">
        <v>80.269779293880703</v>
      </c>
      <c r="R746" s="2" t="s">
        <v>100</v>
      </c>
      <c r="S746">
        <v>0</v>
      </c>
      <c r="T746">
        <v>0.1</v>
      </c>
      <c r="U746" s="2" t="s">
        <v>100</v>
      </c>
      <c r="V746" t="b">
        <v>1</v>
      </c>
      <c r="W746" t="b">
        <v>1</v>
      </c>
      <c r="X746">
        <v>0</v>
      </c>
    </row>
    <row r="747" spans="3:24" x14ac:dyDescent="0.35">
      <c r="C747" s="2" t="s">
        <v>67</v>
      </c>
      <c r="D747" s="3">
        <v>43465</v>
      </c>
      <c r="E747">
        <v>37.265996565120403</v>
      </c>
      <c r="F747">
        <v>58.065656246544599</v>
      </c>
      <c r="G747">
        <v>86.286644580302095</v>
      </c>
      <c r="H747">
        <v>57.674749974060198</v>
      </c>
      <c r="I747">
        <v>361255</v>
      </c>
      <c r="J747">
        <v>100</v>
      </c>
      <c r="K747">
        <v>2</v>
      </c>
      <c r="L747" t="b">
        <v>1</v>
      </c>
      <c r="M747">
        <v>95905979</v>
      </c>
      <c r="N747" s="2" t="s">
        <v>100</v>
      </c>
      <c r="O747" t="b">
        <v>1</v>
      </c>
      <c r="P747">
        <v>69443</v>
      </c>
      <c r="Q747">
        <v>82.220517481419506</v>
      </c>
      <c r="R747" s="2" t="s">
        <v>100</v>
      </c>
      <c r="S747">
        <v>0</v>
      </c>
      <c r="T747">
        <v>0.18</v>
      </c>
      <c r="U747" s="2" t="s">
        <v>100</v>
      </c>
      <c r="V747" t="b">
        <v>1</v>
      </c>
      <c r="W747" t="b">
        <v>1</v>
      </c>
      <c r="X747">
        <v>0</v>
      </c>
    </row>
    <row r="748" spans="3:24" x14ac:dyDescent="0.35">
      <c r="C748" s="2" t="s">
        <v>67</v>
      </c>
      <c r="D748" s="3">
        <v>43100</v>
      </c>
      <c r="E748">
        <v>40.379410890458402</v>
      </c>
      <c r="F748">
        <v>60.3927331602438</v>
      </c>
      <c r="G748">
        <v>83.885319031864199</v>
      </c>
      <c r="H748">
        <v>59.117464826392599</v>
      </c>
      <c r="I748">
        <v>324346</v>
      </c>
      <c r="J748">
        <v>88.8888888888888</v>
      </c>
      <c r="K748">
        <v>8</v>
      </c>
      <c r="L748" t="b">
        <v>1</v>
      </c>
      <c r="M748">
        <v>7602</v>
      </c>
      <c r="N748" s="2" t="s">
        <v>100</v>
      </c>
      <c r="O748" t="b">
        <v>1</v>
      </c>
      <c r="P748">
        <v>149472</v>
      </c>
      <c r="Q748">
        <v>85.960763534790999</v>
      </c>
      <c r="R748" s="2" t="s">
        <v>100</v>
      </c>
      <c r="S748">
        <v>0</v>
      </c>
      <c r="T748">
        <v>7.16</v>
      </c>
      <c r="U748" s="2" t="s">
        <v>100</v>
      </c>
      <c r="V748" t="b">
        <v>1</v>
      </c>
      <c r="W748" t="b">
        <v>1</v>
      </c>
      <c r="X748">
        <v>0</v>
      </c>
    </row>
    <row r="749" spans="3:24" x14ac:dyDescent="0.35">
      <c r="C749" s="2" t="s">
        <v>67</v>
      </c>
      <c r="D749" s="3">
        <v>42735</v>
      </c>
      <c r="E749">
        <v>5.6836823313712204</v>
      </c>
      <c r="F749">
        <v>18.862711864406698</v>
      </c>
      <c r="G749">
        <v>75.209057791025003</v>
      </c>
      <c r="H749">
        <v>28.0607373040631</v>
      </c>
      <c r="I749" s="2" t="s">
        <v>100</v>
      </c>
      <c r="J749">
        <v>100</v>
      </c>
      <c r="K749">
        <v>2</v>
      </c>
      <c r="L749" t="b">
        <v>0</v>
      </c>
      <c r="M749" s="2" t="s">
        <v>100</v>
      </c>
      <c r="N749" s="2" t="s">
        <v>100</v>
      </c>
      <c r="O749" t="b">
        <v>1</v>
      </c>
      <c r="P749" s="2" t="s">
        <v>100</v>
      </c>
      <c r="Q749">
        <v>18.497865737530599</v>
      </c>
      <c r="R749" s="2" t="s">
        <v>100</v>
      </c>
      <c r="S749">
        <v>0</v>
      </c>
      <c r="T749">
        <v>0.4</v>
      </c>
      <c r="U749" s="2" t="s">
        <v>100</v>
      </c>
      <c r="V749" t="b">
        <v>1</v>
      </c>
      <c r="W749" t="b">
        <v>1</v>
      </c>
      <c r="X749">
        <v>0</v>
      </c>
    </row>
    <row r="750" spans="3:24" x14ac:dyDescent="0.35">
      <c r="C750" s="2" t="s">
        <v>67</v>
      </c>
      <c r="D750" s="3">
        <v>42369</v>
      </c>
      <c r="E750">
        <v>0</v>
      </c>
      <c r="F750">
        <v>18.936105353005701</v>
      </c>
      <c r="G750">
        <v>62.394073431222999</v>
      </c>
      <c r="H750">
        <v>22.9428162302275</v>
      </c>
      <c r="I750" s="2" t="s">
        <v>100</v>
      </c>
      <c r="J750">
        <v>77.7777777777777</v>
      </c>
      <c r="K750">
        <v>9</v>
      </c>
      <c r="L750" t="b">
        <v>0</v>
      </c>
      <c r="M750" s="2" t="s">
        <v>100</v>
      </c>
      <c r="N750" s="2" t="s">
        <v>100</v>
      </c>
      <c r="O750" t="b">
        <v>1</v>
      </c>
      <c r="P750" s="2" t="s">
        <v>100</v>
      </c>
      <c r="Q750">
        <v>18.9460637435099</v>
      </c>
      <c r="R750" s="2" t="s">
        <v>100</v>
      </c>
      <c r="S750">
        <v>0</v>
      </c>
      <c r="T750">
        <v>0.76</v>
      </c>
      <c r="U750" s="2" t="s">
        <v>100</v>
      </c>
      <c r="V750" t="b">
        <v>1</v>
      </c>
      <c r="W750" t="b">
        <v>1</v>
      </c>
      <c r="X750">
        <v>0</v>
      </c>
    </row>
    <row r="751" spans="3:24" x14ac:dyDescent="0.35">
      <c r="C751" s="2" t="s">
        <v>68</v>
      </c>
      <c r="D751" s="3">
        <v>45657</v>
      </c>
      <c r="E751">
        <v>43.875022080422099</v>
      </c>
      <c r="F751">
        <v>92.6790291229768</v>
      </c>
      <c r="G751">
        <v>92.527928255052402</v>
      </c>
      <c r="H751">
        <v>85.781064002447394</v>
      </c>
      <c r="I751">
        <v>2161</v>
      </c>
      <c r="J751">
        <v>83.3333333333333</v>
      </c>
      <c r="K751">
        <v>10</v>
      </c>
      <c r="L751" t="b">
        <v>1</v>
      </c>
      <c r="M751" s="2" t="s">
        <v>100</v>
      </c>
      <c r="N751" s="2" t="s">
        <v>100</v>
      </c>
      <c r="O751" t="b">
        <v>1</v>
      </c>
      <c r="P751">
        <v>99450</v>
      </c>
      <c r="Q751">
        <v>70.2374273937494</v>
      </c>
      <c r="R751" t="b">
        <v>0</v>
      </c>
      <c r="S751">
        <v>87.958115183246093</v>
      </c>
      <c r="T751">
        <v>0</v>
      </c>
      <c r="U751">
        <v>57</v>
      </c>
      <c r="V751" t="b">
        <v>1</v>
      </c>
      <c r="W751" t="b">
        <v>1</v>
      </c>
      <c r="X751">
        <v>53.1941031941031</v>
      </c>
    </row>
    <row r="752" spans="3:24" x14ac:dyDescent="0.35">
      <c r="C752" s="2" t="s">
        <v>68</v>
      </c>
      <c r="D752" s="3">
        <v>45291</v>
      </c>
      <c r="E752">
        <v>47.964776836830602</v>
      </c>
      <c r="F752">
        <v>91.119674255033104</v>
      </c>
      <c r="G752">
        <v>88.594689085322401</v>
      </c>
      <c r="H752">
        <v>83.905006402362503</v>
      </c>
      <c r="I752">
        <v>2560</v>
      </c>
      <c r="J752">
        <v>75</v>
      </c>
      <c r="K752">
        <v>10</v>
      </c>
      <c r="L752" t="b">
        <v>1</v>
      </c>
      <c r="M752" s="2" t="s">
        <v>100</v>
      </c>
      <c r="N752" s="2" t="s">
        <v>100</v>
      </c>
      <c r="O752" t="b">
        <v>1</v>
      </c>
      <c r="P752">
        <v>87931.5</v>
      </c>
      <c r="Q752">
        <v>71.154811864450707</v>
      </c>
      <c r="R752" t="b">
        <v>0</v>
      </c>
      <c r="S752">
        <v>87.841530054644807</v>
      </c>
      <c r="T752" s="2" t="s">
        <v>100</v>
      </c>
      <c r="U752">
        <v>54</v>
      </c>
      <c r="V752" t="b">
        <v>1</v>
      </c>
      <c r="W752" t="b">
        <v>1</v>
      </c>
      <c r="X752">
        <v>54.145728643216103</v>
      </c>
    </row>
    <row r="753" spans="3:24" x14ac:dyDescent="0.35">
      <c r="C753" s="2" t="s">
        <v>68</v>
      </c>
      <c r="D753" s="3">
        <v>44926</v>
      </c>
      <c r="E753">
        <v>56.3355745015133</v>
      </c>
      <c r="F753">
        <v>88.6517883457457</v>
      </c>
      <c r="G753">
        <v>91.739207957957902</v>
      </c>
      <c r="H753">
        <v>85.570596590848396</v>
      </c>
      <c r="I753">
        <v>2848</v>
      </c>
      <c r="J753">
        <v>85.714285714285694</v>
      </c>
      <c r="K753">
        <v>11</v>
      </c>
      <c r="L753" t="b">
        <v>1</v>
      </c>
      <c r="M753" s="2" t="s">
        <v>100</v>
      </c>
      <c r="N753" s="2" t="s">
        <v>100</v>
      </c>
      <c r="O753" t="b">
        <v>1</v>
      </c>
      <c r="P753">
        <v>122787.5</v>
      </c>
      <c r="Q753">
        <v>73.521960578472303</v>
      </c>
      <c r="R753" t="b">
        <v>0</v>
      </c>
      <c r="S753">
        <v>91.3888888888888</v>
      </c>
      <c r="T753" s="2" t="s">
        <v>100</v>
      </c>
      <c r="U753">
        <v>50</v>
      </c>
      <c r="V753" t="b">
        <v>0</v>
      </c>
      <c r="W753" t="b">
        <v>1</v>
      </c>
      <c r="X753">
        <v>55.236907730673302</v>
      </c>
    </row>
    <row r="754" spans="3:24" x14ac:dyDescent="0.35">
      <c r="C754" s="2" t="s">
        <v>68</v>
      </c>
      <c r="D754" s="3">
        <v>44561</v>
      </c>
      <c r="E754">
        <v>57.939436934858797</v>
      </c>
      <c r="F754">
        <v>84.783173857606201</v>
      </c>
      <c r="G754">
        <v>90.9481876295973</v>
      </c>
      <c r="H754">
        <v>83.902709311311</v>
      </c>
      <c r="I754">
        <v>3457</v>
      </c>
      <c r="J754">
        <v>83.3333333333333</v>
      </c>
      <c r="K754">
        <v>11</v>
      </c>
      <c r="L754" t="b">
        <v>1</v>
      </c>
      <c r="M754">
        <v>2</v>
      </c>
      <c r="N754" s="2" t="s">
        <v>100</v>
      </c>
      <c r="O754" t="b">
        <v>1</v>
      </c>
      <c r="P754">
        <v>110569.60000000001</v>
      </c>
      <c r="Q754">
        <v>75.621147307915805</v>
      </c>
      <c r="R754" s="2" t="s">
        <v>100</v>
      </c>
      <c r="S754">
        <v>43.809523809523803</v>
      </c>
      <c r="T754" s="2" t="s">
        <v>100</v>
      </c>
      <c r="U754">
        <v>51</v>
      </c>
      <c r="V754" t="b">
        <v>0</v>
      </c>
      <c r="W754" t="b">
        <v>1</v>
      </c>
      <c r="X754">
        <v>57.123287671232802</v>
      </c>
    </row>
    <row r="755" spans="3:24" x14ac:dyDescent="0.35">
      <c r="C755" s="2" t="s">
        <v>68</v>
      </c>
      <c r="D755" s="3">
        <v>44196</v>
      </c>
      <c r="E755">
        <v>51.5338526351741</v>
      </c>
      <c r="F755">
        <v>84.274141483527103</v>
      </c>
      <c r="G755">
        <v>93.409035409035397</v>
      </c>
      <c r="H755">
        <v>83.953688915600694</v>
      </c>
      <c r="I755">
        <v>4389</v>
      </c>
      <c r="J755">
        <v>69.230769230769198</v>
      </c>
      <c r="K755">
        <v>11</v>
      </c>
      <c r="L755" t="b">
        <v>1</v>
      </c>
      <c r="M755" s="2" t="s">
        <v>100</v>
      </c>
      <c r="N755" s="2" t="s">
        <v>100</v>
      </c>
      <c r="O755" t="b">
        <v>1</v>
      </c>
      <c r="P755">
        <v>113772</v>
      </c>
      <c r="Q755">
        <v>78.200069035947806</v>
      </c>
      <c r="R755" s="2" t="s">
        <v>100</v>
      </c>
      <c r="S755">
        <v>43.7735849056603</v>
      </c>
      <c r="T755" s="2" t="s">
        <v>100</v>
      </c>
      <c r="U755">
        <v>72</v>
      </c>
      <c r="V755" t="b">
        <v>0</v>
      </c>
      <c r="W755" t="b">
        <v>1</v>
      </c>
      <c r="X755">
        <v>59.908536585365802</v>
      </c>
    </row>
    <row r="756" spans="3:24" x14ac:dyDescent="0.35">
      <c r="C756" s="2" t="s">
        <v>68</v>
      </c>
      <c r="D756" s="3">
        <v>43830</v>
      </c>
      <c r="E756">
        <v>72.639382608428306</v>
      </c>
      <c r="F756">
        <v>85.209004392922594</v>
      </c>
      <c r="G756">
        <v>92.269415093250203</v>
      </c>
      <c r="H756">
        <v>83.800422392774706</v>
      </c>
      <c r="I756">
        <v>6591</v>
      </c>
      <c r="J756">
        <v>68.75</v>
      </c>
      <c r="K756">
        <v>12</v>
      </c>
      <c r="L756" t="b">
        <v>1</v>
      </c>
      <c r="M756" s="2" t="s">
        <v>100</v>
      </c>
      <c r="N756" s="2" t="s">
        <v>100</v>
      </c>
      <c r="O756" t="b">
        <v>1</v>
      </c>
      <c r="P756">
        <v>145992.6</v>
      </c>
      <c r="Q756">
        <v>80.269779293880703</v>
      </c>
      <c r="R756" s="2" t="s">
        <v>100</v>
      </c>
      <c r="S756">
        <v>45.238095238095198</v>
      </c>
      <c r="T756" s="2" t="s">
        <v>100</v>
      </c>
      <c r="U756">
        <v>56</v>
      </c>
      <c r="V756" t="b">
        <v>0</v>
      </c>
      <c r="W756" t="b">
        <v>1</v>
      </c>
      <c r="X756">
        <v>58.305084745762699</v>
      </c>
    </row>
    <row r="757" spans="3:24" x14ac:dyDescent="0.35">
      <c r="C757" s="2" t="s">
        <v>68</v>
      </c>
      <c r="D757" s="3">
        <v>43465</v>
      </c>
      <c r="E757">
        <v>72.178797901478802</v>
      </c>
      <c r="F757">
        <v>82.343051856912794</v>
      </c>
      <c r="G757">
        <v>90.933850958783495</v>
      </c>
      <c r="H757">
        <v>81.663868157075399</v>
      </c>
      <c r="I757">
        <v>9736</v>
      </c>
      <c r="J757">
        <v>72.2222222222222</v>
      </c>
      <c r="K757">
        <v>14</v>
      </c>
      <c r="L757" t="b">
        <v>1</v>
      </c>
      <c r="M757" s="2" t="s">
        <v>100</v>
      </c>
      <c r="N757" s="2" t="s">
        <v>100</v>
      </c>
      <c r="O757" t="b">
        <v>1</v>
      </c>
      <c r="P757">
        <v>138081.60000000001</v>
      </c>
      <c r="Q757">
        <v>82.220517481419506</v>
      </c>
      <c r="R757" s="2" t="s">
        <v>100</v>
      </c>
      <c r="S757">
        <v>46.534653465346501</v>
      </c>
      <c r="T757" s="2" t="s">
        <v>100</v>
      </c>
      <c r="U757" s="2" t="s">
        <v>100</v>
      </c>
      <c r="V757" t="b">
        <v>0</v>
      </c>
      <c r="W757" t="b">
        <v>1</v>
      </c>
      <c r="X757">
        <v>59.677419354838698</v>
      </c>
    </row>
    <row r="758" spans="3:24" x14ac:dyDescent="0.35">
      <c r="C758" s="2" t="s">
        <v>68</v>
      </c>
      <c r="D758" s="3">
        <v>43100</v>
      </c>
      <c r="E758">
        <v>80.790493825730195</v>
      </c>
      <c r="F758">
        <v>83.531244715455202</v>
      </c>
      <c r="G758">
        <v>71.999985830776893</v>
      </c>
      <c r="H758">
        <v>75.421282722954103</v>
      </c>
      <c r="I758">
        <v>18235</v>
      </c>
      <c r="J758">
        <v>63.636363636363598</v>
      </c>
      <c r="K758">
        <v>16</v>
      </c>
      <c r="L758" t="b">
        <v>1</v>
      </c>
      <c r="M758" s="2" t="s">
        <v>100</v>
      </c>
      <c r="N758" s="2" t="s">
        <v>100</v>
      </c>
      <c r="O758" t="b">
        <v>1</v>
      </c>
      <c r="P758">
        <v>262178.40000000002</v>
      </c>
      <c r="Q758">
        <v>85.960763534790999</v>
      </c>
      <c r="R758" s="2" t="s">
        <v>100</v>
      </c>
      <c r="S758">
        <v>45.454545454545404</v>
      </c>
      <c r="T758" s="2" t="s">
        <v>100</v>
      </c>
      <c r="U758" s="2" t="s">
        <v>100</v>
      </c>
      <c r="V758" t="b">
        <v>0</v>
      </c>
      <c r="W758" t="b">
        <v>1</v>
      </c>
      <c r="X758">
        <v>63.738738738738697</v>
      </c>
    </row>
    <row r="759" spans="3:24" x14ac:dyDescent="0.35">
      <c r="C759" s="2" t="s">
        <v>68</v>
      </c>
      <c r="D759" s="3">
        <v>42735</v>
      </c>
      <c r="E759">
        <v>87.886031177166402</v>
      </c>
      <c r="F759">
        <v>71.233764112329197</v>
      </c>
      <c r="G759">
        <v>84.484324115471594</v>
      </c>
      <c r="H759">
        <v>77.475040718704193</v>
      </c>
      <c r="I759">
        <v>12421</v>
      </c>
      <c r="J759">
        <v>71.428571428571402</v>
      </c>
      <c r="K759">
        <v>12</v>
      </c>
      <c r="L759" t="b">
        <v>1</v>
      </c>
      <c r="M759">
        <v>746</v>
      </c>
      <c r="N759" s="2" t="s">
        <v>100</v>
      </c>
      <c r="O759" t="b">
        <v>1</v>
      </c>
      <c r="P759" s="2" t="s">
        <v>100</v>
      </c>
      <c r="Q759">
        <v>86.761782529177495</v>
      </c>
      <c r="R759" s="2" t="s">
        <v>100</v>
      </c>
      <c r="S759">
        <v>48.571428571428498</v>
      </c>
      <c r="T759" s="2" t="s">
        <v>100</v>
      </c>
      <c r="U759">
        <v>65</v>
      </c>
      <c r="V759" t="b">
        <v>1</v>
      </c>
      <c r="W759" t="b">
        <v>1</v>
      </c>
      <c r="X759">
        <v>63.315217391304301</v>
      </c>
    </row>
    <row r="760" spans="3:24" x14ac:dyDescent="0.35">
      <c r="C760" s="2" t="s">
        <v>68</v>
      </c>
      <c r="D760" s="3">
        <v>42369</v>
      </c>
      <c r="E760">
        <v>87.693817152415804</v>
      </c>
      <c r="F760">
        <v>66.837487076364496</v>
      </c>
      <c r="G760">
        <v>81.732175268169996</v>
      </c>
      <c r="H760">
        <v>74.424210953455599</v>
      </c>
      <c r="I760">
        <v>14798</v>
      </c>
      <c r="J760">
        <v>56.25</v>
      </c>
      <c r="K760">
        <v>13</v>
      </c>
      <c r="L760" t="b">
        <v>1</v>
      </c>
      <c r="M760">
        <v>725</v>
      </c>
      <c r="N760" s="2" t="s">
        <v>100</v>
      </c>
      <c r="O760" t="b">
        <v>1</v>
      </c>
      <c r="P760" s="2" t="s">
        <v>100</v>
      </c>
      <c r="Q760">
        <v>18.9460637435099</v>
      </c>
      <c r="R760" s="2" t="s">
        <v>100</v>
      </c>
      <c r="S760">
        <v>48.165137614678898</v>
      </c>
      <c r="T760" s="2" t="s">
        <v>100</v>
      </c>
      <c r="U760">
        <v>63</v>
      </c>
      <c r="V760" t="b">
        <v>1</v>
      </c>
      <c r="W760" t="b">
        <v>1</v>
      </c>
      <c r="X760">
        <v>67.378048780487802</v>
      </c>
    </row>
    <row r="761" spans="3:24" x14ac:dyDescent="0.35">
      <c r="C761" s="2" t="s">
        <v>69</v>
      </c>
      <c r="D761" s="3">
        <v>46022</v>
      </c>
      <c r="E761">
        <v>88.045317705551696</v>
      </c>
      <c r="F761">
        <v>59.528086439470698</v>
      </c>
      <c r="G761">
        <v>86.474780701754398</v>
      </c>
      <c r="H761">
        <v>74.109061646528303</v>
      </c>
      <c r="I761">
        <v>3167</v>
      </c>
      <c r="J761">
        <v>80</v>
      </c>
      <c r="K761">
        <v>10</v>
      </c>
      <c r="L761" t="b">
        <v>1</v>
      </c>
      <c r="M761">
        <v>241</v>
      </c>
      <c r="N761" s="2" t="s">
        <v>100</v>
      </c>
      <c r="O761" t="b">
        <v>1</v>
      </c>
      <c r="P761" s="2" t="s">
        <v>100</v>
      </c>
      <c r="Q761">
        <v>69.909916611739803</v>
      </c>
      <c r="R761" t="b">
        <v>0</v>
      </c>
      <c r="S761">
        <v>31.3531353135313</v>
      </c>
      <c r="T761" s="2" t="s">
        <v>100</v>
      </c>
      <c r="U761">
        <v>71</v>
      </c>
      <c r="V761" t="b">
        <v>1</v>
      </c>
      <c r="W761" t="b">
        <v>1</v>
      </c>
      <c r="X761">
        <v>51.132686084142399</v>
      </c>
    </row>
    <row r="762" spans="3:24" x14ac:dyDescent="0.35">
      <c r="C762" s="2" t="s">
        <v>69</v>
      </c>
      <c r="D762" s="3">
        <v>45657</v>
      </c>
      <c r="E762">
        <v>89.680993465943402</v>
      </c>
      <c r="F762">
        <v>62.307950397315601</v>
      </c>
      <c r="G762">
        <v>90.850973522542105</v>
      </c>
      <c r="H762">
        <v>77.374898723223296</v>
      </c>
      <c r="I762">
        <v>3487</v>
      </c>
      <c r="J762">
        <v>80</v>
      </c>
      <c r="K762">
        <v>10</v>
      </c>
      <c r="L762" t="b">
        <v>1</v>
      </c>
      <c r="M762">
        <v>316</v>
      </c>
      <c r="N762" s="2" t="s">
        <v>100</v>
      </c>
      <c r="O762" t="b">
        <v>1</v>
      </c>
      <c r="P762" s="2" t="s">
        <v>100</v>
      </c>
      <c r="Q762">
        <v>70.2374273937494</v>
      </c>
      <c r="R762" t="b">
        <v>0</v>
      </c>
      <c r="S762">
        <v>31.395348837209301</v>
      </c>
      <c r="T762" s="2" t="s">
        <v>100</v>
      </c>
      <c r="U762">
        <v>69</v>
      </c>
      <c r="V762" t="b">
        <v>1</v>
      </c>
      <c r="W762" t="b">
        <v>1</v>
      </c>
      <c r="X762">
        <v>50.980392156862699</v>
      </c>
    </row>
    <row r="763" spans="3:24" x14ac:dyDescent="0.35">
      <c r="C763" s="2" t="s">
        <v>69</v>
      </c>
      <c r="D763" s="3">
        <v>45291</v>
      </c>
      <c r="E763">
        <v>89.882989403234802</v>
      </c>
      <c r="F763">
        <v>56.4054005619221</v>
      </c>
      <c r="G763">
        <v>89.842763045260796</v>
      </c>
      <c r="H763">
        <v>74.244024067432605</v>
      </c>
      <c r="I763">
        <v>3618</v>
      </c>
      <c r="J763">
        <v>77.7777777777777</v>
      </c>
      <c r="K763">
        <v>8</v>
      </c>
      <c r="L763" t="b">
        <v>1</v>
      </c>
      <c r="M763">
        <v>409</v>
      </c>
      <c r="N763" s="2" t="s">
        <v>100</v>
      </c>
      <c r="O763" t="b">
        <v>1</v>
      </c>
      <c r="P763" s="2" t="s">
        <v>100</v>
      </c>
      <c r="Q763">
        <v>71.154811864450707</v>
      </c>
      <c r="R763" t="b">
        <v>0</v>
      </c>
      <c r="S763">
        <v>33.163265306122398</v>
      </c>
      <c r="T763" s="2" t="s">
        <v>100</v>
      </c>
      <c r="U763">
        <v>70.7</v>
      </c>
      <c r="V763" t="b">
        <v>1</v>
      </c>
      <c r="W763" t="b">
        <v>1</v>
      </c>
      <c r="X763">
        <v>51.650165016501603</v>
      </c>
    </row>
    <row r="764" spans="3:24" x14ac:dyDescent="0.35">
      <c r="C764" s="2" t="s">
        <v>69</v>
      </c>
      <c r="D764" s="3">
        <v>44926</v>
      </c>
      <c r="E764">
        <v>88.604733028960595</v>
      </c>
      <c r="F764">
        <v>66.198282077808102</v>
      </c>
      <c r="G764">
        <v>72.933089339339304</v>
      </c>
      <c r="H764">
        <v>71.879731775907601</v>
      </c>
      <c r="I764">
        <v>5559</v>
      </c>
      <c r="J764">
        <v>63.636363636363598</v>
      </c>
      <c r="K764">
        <v>10</v>
      </c>
      <c r="L764" t="b">
        <v>1</v>
      </c>
      <c r="M764">
        <v>318</v>
      </c>
      <c r="N764" s="2" t="s">
        <v>100</v>
      </c>
      <c r="O764" t="b">
        <v>1</v>
      </c>
      <c r="P764">
        <v>10000</v>
      </c>
      <c r="Q764">
        <v>73.521960578472303</v>
      </c>
      <c r="R764" t="b">
        <v>0</v>
      </c>
      <c r="S764">
        <v>32.8231292517006</v>
      </c>
      <c r="T764" s="2" t="s">
        <v>100</v>
      </c>
      <c r="U764">
        <v>72</v>
      </c>
      <c r="V764" t="b">
        <v>1</v>
      </c>
      <c r="W764" t="b">
        <v>1</v>
      </c>
      <c r="X764">
        <v>52.741935483870897</v>
      </c>
    </row>
    <row r="765" spans="3:24" x14ac:dyDescent="0.35">
      <c r="C765" s="2" t="s">
        <v>69</v>
      </c>
      <c r="D765" s="3">
        <v>44561</v>
      </c>
      <c r="E765">
        <v>80.537081567171896</v>
      </c>
      <c r="F765">
        <v>65.559076873069998</v>
      </c>
      <c r="G765">
        <v>51.996146652228298</v>
      </c>
      <c r="H765" s="2">
        <v>62.130972077280298</v>
      </c>
      <c r="I765" s="2">
        <v>5931</v>
      </c>
      <c r="J765">
        <v>77.7777777777777</v>
      </c>
      <c r="K765">
        <v>7</v>
      </c>
      <c r="L765" t="b">
        <v>1</v>
      </c>
      <c r="M765">
        <v>142</v>
      </c>
      <c r="N765" s="2" t="s">
        <v>100</v>
      </c>
      <c r="O765" t="b">
        <v>1</v>
      </c>
      <c r="P765" s="2" t="s">
        <v>100</v>
      </c>
      <c r="Q765">
        <v>75.621147307915805</v>
      </c>
      <c r="R765" t="b">
        <v>0</v>
      </c>
      <c r="S765">
        <v>33.3333333333333</v>
      </c>
      <c r="T765" s="2" t="s">
        <v>100</v>
      </c>
      <c r="U765">
        <v>75</v>
      </c>
      <c r="V765" t="b">
        <v>1</v>
      </c>
      <c r="W765" t="b">
        <v>1</v>
      </c>
      <c r="X765">
        <v>54.266211604095503</v>
      </c>
    </row>
    <row r="766" spans="3:24" x14ac:dyDescent="0.35">
      <c r="C766" s="2" t="s">
        <v>69</v>
      </c>
      <c r="D766" s="3">
        <v>44196</v>
      </c>
      <c r="E766">
        <v>79.492938302612203</v>
      </c>
      <c r="F766">
        <v>58.180738857206499</v>
      </c>
      <c r="G766">
        <v>89.964590964590897</v>
      </c>
      <c r="H766">
        <v>73.735906292881097</v>
      </c>
      <c r="I766">
        <v>4801.17</v>
      </c>
      <c r="J766">
        <v>77.7777777777777</v>
      </c>
      <c r="K766">
        <v>8</v>
      </c>
      <c r="L766" t="b">
        <v>1</v>
      </c>
      <c r="M766" s="2" t="s">
        <v>100</v>
      </c>
      <c r="N766" s="2" t="s">
        <v>100</v>
      </c>
      <c r="O766" t="b">
        <v>1</v>
      </c>
      <c r="P766">
        <v>11192</v>
      </c>
      <c r="Q766">
        <v>78.200069035947806</v>
      </c>
      <c r="R766" s="2" t="s">
        <v>100</v>
      </c>
      <c r="S766">
        <v>34.322033898305101</v>
      </c>
      <c r="T766" s="2" t="s">
        <v>100</v>
      </c>
      <c r="U766">
        <v>80</v>
      </c>
      <c r="V766" t="b">
        <v>1</v>
      </c>
      <c r="W766" t="b">
        <v>1</v>
      </c>
      <c r="X766">
        <v>54.1015625</v>
      </c>
    </row>
    <row r="767" spans="3:24" x14ac:dyDescent="0.35">
      <c r="C767" s="2" t="s">
        <v>69</v>
      </c>
      <c r="D767" s="3">
        <v>43830</v>
      </c>
      <c r="E767">
        <v>81.876480759677406</v>
      </c>
      <c r="F767">
        <v>41.083776009760797</v>
      </c>
      <c r="G767">
        <v>71.805069576765405</v>
      </c>
      <c r="H767">
        <v>57.685637676442298</v>
      </c>
      <c r="I767">
        <v>8135</v>
      </c>
      <c r="J767">
        <v>62.5</v>
      </c>
      <c r="K767">
        <v>7</v>
      </c>
      <c r="L767" t="b">
        <v>1</v>
      </c>
      <c r="M767">
        <v>951</v>
      </c>
      <c r="N767" s="2" t="s">
        <v>100</v>
      </c>
      <c r="O767" t="b">
        <v>1</v>
      </c>
      <c r="P767" s="2" t="s">
        <v>100</v>
      </c>
      <c r="Q767">
        <v>80.269779293880703</v>
      </c>
      <c r="R767" s="2" t="s">
        <v>100</v>
      </c>
      <c r="S767">
        <v>35.683760683760603</v>
      </c>
      <c r="T767" s="2" t="s">
        <v>100</v>
      </c>
      <c r="U767">
        <v>68</v>
      </c>
      <c r="V767" t="b">
        <v>1</v>
      </c>
      <c r="W767" t="b">
        <v>1</v>
      </c>
      <c r="X767">
        <v>52.459016393442603</v>
      </c>
    </row>
    <row r="768" spans="3:24" x14ac:dyDescent="0.35">
      <c r="C768" s="2" t="s">
        <v>69</v>
      </c>
      <c r="D768" s="3">
        <v>43465</v>
      </c>
      <c r="E768" s="2" t="s">
        <v>100</v>
      </c>
      <c r="F768" s="2" t="s">
        <v>100</v>
      </c>
      <c r="G768" s="2" t="s">
        <v>100</v>
      </c>
      <c r="H768" s="2" t="s">
        <v>100</v>
      </c>
      <c r="I768" s="2" t="s">
        <v>100</v>
      </c>
      <c r="J768" s="2" t="s">
        <v>100</v>
      </c>
      <c r="K768" s="2" t="s">
        <v>100</v>
      </c>
      <c r="L768" s="2" t="s">
        <v>100</v>
      </c>
      <c r="M768" s="2" t="s">
        <v>100</v>
      </c>
      <c r="N768" s="2" t="s">
        <v>100</v>
      </c>
      <c r="O768" s="2" t="s">
        <v>100</v>
      </c>
      <c r="P768" s="2" t="s">
        <v>100</v>
      </c>
      <c r="Q768" s="2" t="s">
        <v>100</v>
      </c>
      <c r="R768" s="2" t="s">
        <v>100</v>
      </c>
      <c r="S768" s="2" t="s">
        <v>100</v>
      </c>
      <c r="T768" s="2" t="s">
        <v>100</v>
      </c>
      <c r="U768" s="2" t="s">
        <v>100</v>
      </c>
      <c r="V768" s="2" t="s">
        <v>100</v>
      </c>
      <c r="W768" s="2" t="s">
        <v>100</v>
      </c>
      <c r="X768" s="2" t="s">
        <v>100</v>
      </c>
    </row>
    <row r="769" spans="3:24" x14ac:dyDescent="0.35">
      <c r="C769" s="2" t="s">
        <v>69</v>
      </c>
      <c r="D769" s="3">
        <v>43100</v>
      </c>
      <c r="E769" s="2" t="s">
        <v>100</v>
      </c>
      <c r="F769" s="2" t="s">
        <v>100</v>
      </c>
      <c r="G769" s="2" t="s">
        <v>100</v>
      </c>
      <c r="H769" s="2" t="s">
        <v>100</v>
      </c>
      <c r="I769" s="2" t="s">
        <v>100</v>
      </c>
      <c r="J769" s="2" t="s">
        <v>100</v>
      </c>
      <c r="K769" s="2" t="s">
        <v>100</v>
      </c>
      <c r="L769" s="2" t="s">
        <v>100</v>
      </c>
      <c r="M769" s="2" t="s">
        <v>100</v>
      </c>
      <c r="N769" s="2" t="s">
        <v>100</v>
      </c>
      <c r="O769" s="2" t="s">
        <v>100</v>
      </c>
      <c r="P769" s="2" t="s">
        <v>100</v>
      </c>
      <c r="Q769" s="2" t="s">
        <v>100</v>
      </c>
      <c r="R769" s="2" t="s">
        <v>100</v>
      </c>
      <c r="S769" s="2" t="s">
        <v>100</v>
      </c>
      <c r="T769" s="2" t="s">
        <v>100</v>
      </c>
      <c r="U769" s="2" t="s">
        <v>100</v>
      </c>
      <c r="V769" s="2" t="s">
        <v>100</v>
      </c>
      <c r="W769" s="2" t="s">
        <v>100</v>
      </c>
      <c r="X769" s="2" t="s">
        <v>100</v>
      </c>
    </row>
    <row r="770" spans="3:24" x14ac:dyDescent="0.35">
      <c r="C770" s="2" t="s">
        <v>69</v>
      </c>
      <c r="D770" s="3">
        <v>42735</v>
      </c>
      <c r="E770" s="2" t="s">
        <v>100</v>
      </c>
      <c r="F770" s="2" t="s">
        <v>100</v>
      </c>
      <c r="G770" s="2" t="s">
        <v>100</v>
      </c>
      <c r="H770" s="2" t="s">
        <v>100</v>
      </c>
      <c r="I770" s="2" t="s">
        <v>100</v>
      </c>
      <c r="J770" s="2" t="s">
        <v>100</v>
      </c>
      <c r="K770" s="2" t="s">
        <v>100</v>
      </c>
      <c r="L770" s="2" t="s">
        <v>100</v>
      </c>
      <c r="M770" s="2" t="s">
        <v>100</v>
      </c>
      <c r="N770" s="2" t="s">
        <v>100</v>
      </c>
      <c r="O770" s="2" t="s">
        <v>100</v>
      </c>
      <c r="P770" s="2" t="s">
        <v>100</v>
      </c>
      <c r="Q770" s="2" t="s">
        <v>100</v>
      </c>
      <c r="R770" s="2" t="s">
        <v>100</v>
      </c>
      <c r="S770" s="2" t="s">
        <v>100</v>
      </c>
      <c r="T770" s="2" t="s">
        <v>100</v>
      </c>
      <c r="U770" s="2" t="s">
        <v>100</v>
      </c>
      <c r="V770" s="2" t="s">
        <v>100</v>
      </c>
      <c r="W770" s="2" t="s">
        <v>100</v>
      </c>
      <c r="X770" s="2" t="s">
        <v>100</v>
      </c>
    </row>
    <row r="771" spans="3:24" x14ac:dyDescent="0.35">
      <c r="C771" s="2" t="s">
        <v>70</v>
      </c>
      <c r="D771" s="3">
        <v>45747</v>
      </c>
      <c r="E771">
        <v>66.201865326567599</v>
      </c>
      <c r="F771">
        <v>81.485542880915702</v>
      </c>
      <c r="G771">
        <v>88.708043981481396</v>
      </c>
      <c r="H771">
        <v>80.293941548959594</v>
      </c>
      <c r="I771">
        <v>2340000</v>
      </c>
      <c r="J771">
        <v>76.923076923076906</v>
      </c>
      <c r="K771">
        <v>13</v>
      </c>
      <c r="L771" t="b">
        <v>1</v>
      </c>
      <c r="M771">
        <v>6679</v>
      </c>
      <c r="N771" s="2" t="s">
        <v>100</v>
      </c>
      <c r="O771" t="b">
        <v>1</v>
      </c>
      <c r="P771">
        <v>3880842</v>
      </c>
      <c r="Q771">
        <v>69.909916611739803</v>
      </c>
      <c r="R771" t="b">
        <v>0</v>
      </c>
      <c r="S771">
        <v>97.429906542056102</v>
      </c>
      <c r="T771" s="2" t="s">
        <v>100</v>
      </c>
      <c r="U771">
        <v>75</v>
      </c>
      <c r="V771" t="b">
        <v>1</v>
      </c>
      <c r="W771" t="b">
        <v>1</v>
      </c>
      <c r="X771">
        <v>50.921658986175103</v>
      </c>
    </row>
    <row r="772" spans="3:24" x14ac:dyDescent="0.35">
      <c r="C772" s="2" t="s">
        <v>70</v>
      </c>
      <c r="D772" s="3">
        <v>45382</v>
      </c>
      <c r="E772">
        <v>77.010086866560499</v>
      </c>
      <c r="F772">
        <v>81.728218567776594</v>
      </c>
      <c r="G772">
        <v>88.660302459322097</v>
      </c>
      <c r="H772">
        <v>82.606971035685802</v>
      </c>
      <c r="I772">
        <v>2380000</v>
      </c>
      <c r="J772">
        <v>80</v>
      </c>
      <c r="K772">
        <v>12</v>
      </c>
      <c r="L772" t="b">
        <v>1</v>
      </c>
      <c r="M772">
        <v>6204</v>
      </c>
      <c r="N772" s="2" t="s">
        <v>100</v>
      </c>
      <c r="O772" t="b">
        <v>1</v>
      </c>
      <c r="P772">
        <v>3060255</v>
      </c>
      <c r="Q772">
        <v>70.2374273937494</v>
      </c>
      <c r="R772" t="b">
        <v>0</v>
      </c>
      <c r="S772">
        <v>97.897196261682197</v>
      </c>
      <c r="T772" s="2" t="s">
        <v>100</v>
      </c>
      <c r="U772">
        <v>75</v>
      </c>
      <c r="V772" t="b">
        <v>1</v>
      </c>
      <c r="W772" t="b">
        <v>1</v>
      </c>
      <c r="X772">
        <v>51.382488479262598</v>
      </c>
    </row>
    <row r="773" spans="3:24" x14ac:dyDescent="0.35">
      <c r="C773" s="2" t="s">
        <v>70</v>
      </c>
      <c r="D773" s="3">
        <v>45016</v>
      </c>
      <c r="E773">
        <v>75.572520647054802</v>
      </c>
      <c r="F773">
        <v>78.837522154356293</v>
      </c>
      <c r="G773">
        <v>92.362428927995296</v>
      </c>
      <c r="H773">
        <v>81.759338076664704</v>
      </c>
      <c r="I773">
        <v>2370000</v>
      </c>
      <c r="J773">
        <v>85.714285714285694</v>
      </c>
      <c r="K773">
        <v>13</v>
      </c>
      <c r="L773" t="b">
        <v>1</v>
      </c>
      <c r="M773">
        <v>8050</v>
      </c>
      <c r="N773" s="2" t="s">
        <v>100</v>
      </c>
      <c r="O773" t="b">
        <v>1</v>
      </c>
      <c r="P773">
        <v>1922340</v>
      </c>
      <c r="Q773">
        <v>71.154811864450707</v>
      </c>
      <c r="R773" t="b">
        <v>0</v>
      </c>
      <c r="S773">
        <v>98.139534883720899</v>
      </c>
      <c r="T773">
        <v>9.5000000000000001E-2</v>
      </c>
      <c r="U773">
        <v>75</v>
      </c>
      <c r="V773" t="b">
        <v>1</v>
      </c>
      <c r="W773" t="b">
        <v>1</v>
      </c>
      <c r="X773">
        <v>52.293577981651303</v>
      </c>
    </row>
    <row r="774" spans="3:24" x14ac:dyDescent="0.35">
      <c r="C774" s="2" t="s">
        <v>70</v>
      </c>
      <c r="D774" s="3">
        <v>44651</v>
      </c>
      <c r="E774">
        <v>80.008695785151502</v>
      </c>
      <c r="F774">
        <v>86.604804235443297</v>
      </c>
      <c r="G774">
        <v>91.4826388888888</v>
      </c>
      <c r="H774">
        <v>86.557303898889501</v>
      </c>
      <c r="I774">
        <v>2270000</v>
      </c>
      <c r="J774">
        <v>69.230769230769198</v>
      </c>
      <c r="K774">
        <v>10</v>
      </c>
      <c r="L774" t="b">
        <v>1</v>
      </c>
      <c r="M774">
        <v>6698</v>
      </c>
      <c r="N774" s="2" t="s">
        <v>100</v>
      </c>
      <c r="O774" t="b">
        <v>1</v>
      </c>
      <c r="P774">
        <v>1425120</v>
      </c>
      <c r="Q774">
        <v>73.521960578472303</v>
      </c>
      <c r="R774" t="b">
        <v>0</v>
      </c>
      <c r="S774">
        <v>98.139534883720899</v>
      </c>
      <c r="T774">
        <v>0.06</v>
      </c>
      <c r="U774">
        <v>73</v>
      </c>
      <c r="V774" t="b">
        <v>1</v>
      </c>
      <c r="W774" t="b">
        <v>1</v>
      </c>
      <c r="X774">
        <v>52.293577981651303</v>
      </c>
    </row>
    <row r="775" spans="3:24" x14ac:dyDescent="0.35">
      <c r="C775" s="2" t="s">
        <v>70</v>
      </c>
      <c r="D775" s="3">
        <v>44286</v>
      </c>
      <c r="E775">
        <v>83.136486385664497</v>
      </c>
      <c r="F775">
        <v>92.0676445364019</v>
      </c>
      <c r="G775">
        <v>89.600531593232702</v>
      </c>
      <c r="H775">
        <v>89.598454323482599</v>
      </c>
      <c r="I775">
        <v>2380000</v>
      </c>
      <c r="J775">
        <v>84.615384615384599</v>
      </c>
      <c r="K775">
        <v>11</v>
      </c>
      <c r="L775" t="b">
        <v>1</v>
      </c>
      <c r="M775">
        <v>7173</v>
      </c>
      <c r="N775" s="2" t="s">
        <v>100</v>
      </c>
      <c r="O775" t="b">
        <v>1</v>
      </c>
      <c r="P775">
        <v>2828220</v>
      </c>
      <c r="Q775">
        <v>75.621147307915805</v>
      </c>
      <c r="R775" s="2" t="s">
        <v>100</v>
      </c>
      <c r="S775">
        <v>98.684210526315695</v>
      </c>
      <c r="T775">
        <v>3.5000000000000003E-2</v>
      </c>
      <c r="U775">
        <v>74</v>
      </c>
      <c r="V775" t="b">
        <v>1</v>
      </c>
      <c r="W775" t="b">
        <v>1</v>
      </c>
      <c r="X775">
        <v>52.564102564102498</v>
      </c>
    </row>
    <row r="776" spans="3:24" x14ac:dyDescent="0.35">
      <c r="C776" s="2" t="s">
        <v>70</v>
      </c>
      <c r="D776" s="3">
        <v>43921</v>
      </c>
      <c r="E776">
        <v>84.098525116899197</v>
      </c>
      <c r="F776">
        <v>82.585351966368705</v>
      </c>
      <c r="G776">
        <v>89.403744403744298</v>
      </c>
      <c r="H776">
        <v>84.700416080508404</v>
      </c>
      <c r="I776">
        <v>2160000</v>
      </c>
      <c r="J776">
        <v>85.714285714285694</v>
      </c>
      <c r="K776">
        <v>12</v>
      </c>
      <c r="L776" t="b">
        <v>1</v>
      </c>
      <c r="M776">
        <v>4744</v>
      </c>
      <c r="N776" s="2" t="s">
        <v>100</v>
      </c>
      <c r="O776" t="b">
        <v>1</v>
      </c>
      <c r="P776">
        <v>1300124</v>
      </c>
      <c r="Q776">
        <v>78.200069035947806</v>
      </c>
      <c r="R776" s="2" t="s">
        <v>100</v>
      </c>
      <c r="S776">
        <v>92.5</v>
      </c>
      <c r="T776">
        <v>0.16500000000000001</v>
      </c>
      <c r="U776">
        <v>77</v>
      </c>
      <c r="V776" t="b">
        <v>1</v>
      </c>
      <c r="W776" t="b">
        <v>1</v>
      </c>
      <c r="X776">
        <v>54.9479166666666</v>
      </c>
    </row>
    <row r="777" spans="3:24" x14ac:dyDescent="0.35">
      <c r="C777" s="2" t="s">
        <v>70</v>
      </c>
      <c r="D777" s="3">
        <v>43555</v>
      </c>
      <c r="E777">
        <v>80.121600158824705</v>
      </c>
      <c r="F777">
        <v>85.017145743840899</v>
      </c>
      <c r="G777">
        <v>74.645418326693203</v>
      </c>
      <c r="H777">
        <v>81.272674129969204</v>
      </c>
      <c r="I777">
        <v>2520000</v>
      </c>
      <c r="J777">
        <v>80</v>
      </c>
      <c r="K777">
        <v>13</v>
      </c>
      <c r="L777" t="b">
        <v>1</v>
      </c>
      <c r="M777">
        <v>4539</v>
      </c>
      <c r="N777" s="2" t="s">
        <v>100</v>
      </c>
      <c r="O777" t="b">
        <v>1</v>
      </c>
      <c r="P777">
        <v>1840100</v>
      </c>
      <c r="Q777">
        <v>80.269779293880703</v>
      </c>
      <c r="R777" s="2" t="s">
        <v>100</v>
      </c>
      <c r="S777">
        <v>93.75</v>
      </c>
      <c r="T777">
        <v>0.31</v>
      </c>
      <c r="U777">
        <v>80</v>
      </c>
      <c r="V777" t="b">
        <v>1</v>
      </c>
      <c r="W777" t="b">
        <v>1</v>
      </c>
      <c r="X777">
        <v>53.804347826086897</v>
      </c>
    </row>
    <row r="778" spans="3:24" x14ac:dyDescent="0.35">
      <c r="C778" s="2" t="s">
        <v>70</v>
      </c>
      <c r="D778" s="3">
        <v>43190</v>
      </c>
      <c r="E778">
        <v>72.9716540879609</v>
      </c>
      <c r="F778">
        <v>84.709225419399601</v>
      </c>
      <c r="G778">
        <v>79.192291782885704</v>
      </c>
      <c r="H778">
        <v>80.861165186246296</v>
      </c>
      <c r="I778">
        <v>2580000</v>
      </c>
      <c r="J778">
        <v>86.6666666666666</v>
      </c>
      <c r="K778">
        <v>13</v>
      </c>
      <c r="L778" t="b">
        <v>1</v>
      </c>
      <c r="M778" s="2" t="s">
        <v>100</v>
      </c>
      <c r="N778" s="2" t="s">
        <v>100</v>
      </c>
      <c r="O778" t="b">
        <v>1</v>
      </c>
      <c r="P778" s="2" t="s">
        <v>100</v>
      </c>
      <c r="Q778">
        <v>82.220517481419506</v>
      </c>
      <c r="R778" s="2" t="s">
        <v>100</v>
      </c>
      <c r="S778">
        <v>94.545454545454504</v>
      </c>
      <c r="T778" s="2" t="s">
        <v>100</v>
      </c>
      <c r="U778">
        <v>80</v>
      </c>
      <c r="V778" t="b">
        <v>1</v>
      </c>
      <c r="W778" t="b">
        <v>1</v>
      </c>
      <c r="X778">
        <v>55.142857142857103</v>
      </c>
    </row>
    <row r="779" spans="3:24" x14ac:dyDescent="0.35">
      <c r="C779" s="2" t="s">
        <v>70</v>
      </c>
      <c r="D779" s="3">
        <v>42825</v>
      </c>
      <c r="E779">
        <v>71.756652489386099</v>
      </c>
      <c r="F779">
        <v>86.153300406564497</v>
      </c>
      <c r="G779">
        <v>91.368723329389496</v>
      </c>
      <c r="H779">
        <v>84.609911177607003</v>
      </c>
      <c r="I779">
        <v>2020000</v>
      </c>
      <c r="J779">
        <v>84.615384615384599</v>
      </c>
      <c r="K779">
        <v>13</v>
      </c>
      <c r="L779" t="b">
        <v>1</v>
      </c>
      <c r="M779" s="2" t="s">
        <v>100</v>
      </c>
      <c r="N779" s="2" t="s">
        <v>100</v>
      </c>
      <c r="O779" t="b">
        <v>1</v>
      </c>
      <c r="P779" s="2" t="s">
        <v>100</v>
      </c>
      <c r="Q779">
        <v>85.960763534790999</v>
      </c>
      <c r="R779" s="2" t="s">
        <v>100</v>
      </c>
      <c r="S779">
        <v>95.859872611464894</v>
      </c>
      <c r="T779" s="2" t="s">
        <v>100</v>
      </c>
      <c r="U779">
        <v>80</v>
      </c>
      <c r="V779" t="b">
        <v>1</v>
      </c>
      <c r="W779" t="b">
        <v>1</v>
      </c>
      <c r="X779">
        <v>55.952380952380899</v>
      </c>
    </row>
    <row r="780" spans="3:24" x14ac:dyDescent="0.35">
      <c r="C780" s="2" t="s">
        <v>70</v>
      </c>
      <c r="D780" s="3">
        <v>42460</v>
      </c>
      <c r="E780">
        <v>69.755582734948305</v>
      </c>
      <c r="F780">
        <v>84.8295775783849</v>
      </c>
      <c r="G780">
        <v>81.009549042335905</v>
      </c>
      <c r="H780">
        <v>80.753264728778007</v>
      </c>
      <c r="I780">
        <v>3210000</v>
      </c>
      <c r="J780">
        <v>80</v>
      </c>
      <c r="K780">
        <v>13</v>
      </c>
      <c r="L780" t="b">
        <v>1</v>
      </c>
      <c r="M780" s="2" t="s">
        <v>100</v>
      </c>
      <c r="N780" s="2" t="s">
        <v>100</v>
      </c>
      <c r="O780" t="b">
        <v>1</v>
      </c>
      <c r="P780" s="2" t="s">
        <v>100</v>
      </c>
      <c r="Q780">
        <v>86.761782529177495</v>
      </c>
      <c r="R780" s="2" t="s">
        <v>100</v>
      </c>
      <c r="S780">
        <v>93.971631205673702</v>
      </c>
      <c r="T780" s="2" t="s">
        <v>100</v>
      </c>
      <c r="U780">
        <v>79</v>
      </c>
      <c r="V780" t="b">
        <v>1</v>
      </c>
      <c r="W780" t="b">
        <v>1</v>
      </c>
      <c r="X780">
        <v>56.730769230769198</v>
      </c>
    </row>
    <row r="781" spans="3:24" x14ac:dyDescent="0.35">
      <c r="C781" s="2" t="s">
        <v>71</v>
      </c>
      <c r="D781" s="3">
        <v>45809</v>
      </c>
      <c r="E781">
        <v>28.044223668014698</v>
      </c>
      <c r="F781">
        <v>25.6361342807126</v>
      </c>
      <c r="G781">
        <v>52.895726730019497</v>
      </c>
      <c r="H781">
        <v>35.869791938161399</v>
      </c>
      <c r="I781">
        <v>5473</v>
      </c>
      <c r="J781">
        <v>50</v>
      </c>
      <c r="K781">
        <v>6</v>
      </c>
      <c r="L781" t="b">
        <v>1</v>
      </c>
      <c r="M781">
        <v>569</v>
      </c>
      <c r="N781" s="2" t="s">
        <v>100</v>
      </c>
      <c r="O781" t="b">
        <v>1</v>
      </c>
      <c r="P781" s="2" t="s">
        <v>100</v>
      </c>
      <c r="Q781">
        <v>69.909916611739803</v>
      </c>
      <c r="R781" t="b">
        <v>0</v>
      </c>
      <c r="S781">
        <v>35.576923076923102</v>
      </c>
      <c r="T781" s="2" t="s">
        <v>100</v>
      </c>
      <c r="U781" s="2" t="s">
        <v>100</v>
      </c>
      <c r="V781" t="b">
        <v>1</v>
      </c>
      <c r="W781" t="b">
        <v>1</v>
      </c>
      <c r="X781">
        <v>50.961538461538403</v>
      </c>
    </row>
    <row r="782" spans="3:24" x14ac:dyDescent="0.35">
      <c r="C782" s="2" t="s">
        <v>71</v>
      </c>
      <c r="D782" s="3">
        <v>45445</v>
      </c>
      <c r="E782">
        <v>24.641726745208299</v>
      </c>
      <c r="F782">
        <v>28.867726854917599</v>
      </c>
      <c r="G782">
        <v>64.5893687805452</v>
      </c>
      <c r="H782">
        <v>41.293948146578501</v>
      </c>
      <c r="I782">
        <v>5139</v>
      </c>
      <c r="J782">
        <v>66.6666666666666</v>
      </c>
      <c r="K782">
        <v>6</v>
      </c>
      <c r="L782" t="b">
        <v>1</v>
      </c>
      <c r="M782" s="2" t="s">
        <v>100</v>
      </c>
      <c r="N782" s="2" t="s">
        <v>100</v>
      </c>
      <c r="O782" t="b">
        <v>1</v>
      </c>
      <c r="P782" s="2" t="s">
        <v>100</v>
      </c>
      <c r="Q782">
        <v>70.2374273937494</v>
      </c>
      <c r="R782" t="b">
        <v>0</v>
      </c>
      <c r="S782">
        <v>39.622641509433898</v>
      </c>
      <c r="T782" s="2" t="s">
        <v>100</v>
      </c>
      <c r="U782" s="2" t="s">
        <v>100</v>
      </c>
      <c r="V782" t="b">
        <v>1</v>
      </c>
      <c r="W782" t="b">
        <v>1</v>
      </c>
      <c r="X782">
        <v>50.943396226415103</v>
      </c>
    </row>
    <row r="783" spans="3:24" x14ac:dyDescent="0.35">
      <c r="C783" s="2" t="s">
        <v>71</v>
      </c>
      <c r="D783" s="3">
        <v>45074</v>
      </c>
      <c r="E783">
        <v>28.202479338842998</v>
      </c>
      <c r="F783">
        <v>26.988271125772702</v>
      </c>
      <c r="G783">
        <v>65.842096252444094</v>
      </c>
      <c r="H783">
        <v>41.278829236607997</v>
      </c>
      <c r="I783">
        <v>4644</v>
      </c>
      <c r="J783">
        <v>71.428571428571402</v>
      </c>
      <c r="K783">
        <v>6</v>
      </c>
      <c r="L783" t="b">
        <v>1</v>
      </c>
      <c r="M783" s="2" t="s">
        <v>100</v>
      </c>
      <c r="N783" s="2" t="s">
        <v>100</v>
      </c>
      <c r="O783" t="b">
        <v>1</v>
      </c>
      <c r="P783" s="2" t="s">
        <v>100</v>
      </c>
      <c r="Q783">
        <v>71.154811864450707</v>
      </c>
      <c r="R783" t="b">
        <v>0</v>
      </c>
      <c r="S783">
        <v>39.423076923076898</v>
      </c>
      <c r="T783" s="2" t="s">
        <v>100</v>
      </c>
      <c r="U783" s="2" t="s">
        <v>100</v>
      </c>
      <c r="V783" t="b">
        <v>1</v>
      </c>
      <c r="W783" t="b">
        <v>1</v>
      </c>
      <c r="X783">
        <v>51.8867924528301</v>
      </c>
    </row>
    <row r="784" spans="3:24" x14ac:dyDescent="0.35">
      <c r="C784" s="2" t="s">
        <v>71</v>
      </c>
      <c r="D784" s="3">
        <v>44710</v>
      </c>
      <c r="E784">
        <v>15.7007575757575</v>
      </c>
      <c r="F784">
        <v>26.971990526207399</v>
      </c>
      <c r="G784">
        <v>61.756193693693703</v>
      </c>
      <c r="H784">
        <v>38.117960617960499</v>
      </c>
      <c r="I784">
        <v>4649</v>
      </c>
      <c r="J784">
        <v>50</v>
      </c>
      <c r="K784">
        <v>5</v>
      </c>
      <c r="L784" t="b">
        <v>1</v>
      </c>
      <c r="M784" s="2" t="s">
        <v>100</v>
      </c>
      <c r="N784" s="2" t="s">
        <v>100</v>
      </c>
      <c r="O784" t="b">
        <v>1</v>
      </c>
      <c r="P784" s="2" t="s">
        <v>100</v>
      </c>
      <c r="Q784">
        <v>73.521960578472303</v>
      </c>
      <c r="R784" t="b">
        <v>0</v>
      </c>
      <c r="S784">
        <v>39.423076923076898</v>
      </c>
      <c r="T784" s="2" t="s">
        <v>100</v>
      </c>
      <c r="U784" s="2" t="s">
        <v>100</v>
      </c>
      <c r="V784" t="b">
        <v>1</v>
      </c>
      <c r="W784" t="b">
        <v>1</v>
      </c>
      <c r="X784">
        <v>53.703703703703702</v>
      </c>
    </row>
    <row r="785" spans="3:24" x14ac:dyDescent="0.35">
      <c r="C785" s="2" t="s">
        <v>71</v>
      </c>
      <c r="D785" s="3">
        <v>44346</v>
      </c>
      <c r="E785">
        <v>12.0642515379357</v>
      </c>
      <c r="F785">
        <v>28.579221866657299</v>
      </c>
      <c r="G785">
        <v>49.777385567603098</v>
      </c>
      <c r="H785">
        <v>34.085648986808003</v>
      </c>
      <c r="I785">
        <v>4039</v>
      </c>
      <c r="J785">
        <v>57.142857142857103</v>
      </c>
      <c r="K785">
        <v>6</v>
      </c>
      <c r="L785" t="b">
        <v>1</v>
      </c>
      <c r="M785" s="2" t="s">
        <v>100</v>
      </c>
      <c r="N785" s="2" t="s">
        <v>100</v>
      </c>
      <c r="O785" t="b">
        <v>1</v>
      </c>
      <c r="P785" s="2" t="s">
        <v>100</v>
      </c>
      <c r="Q785">
        <v>75.621147307915805</v>
      </c>
      <c r="R785" s="2" t="s">
        <v>100</v>
      </c>
      <c r="S785">
        <v>42.045454545454497</v>
      </c>
      <c r="T785">
        <v>1.4367799999999999</v>
      </c>
      <c r="U785" s="2" t="s">
        <v>100</v>
      </c>
      <c r="V785" t="b">
        <v>0</v>
      </c>
      <c r="W785" t="b">
        <v>1</v>
      </c>
      <c r="X785">
        <v>55.1020408163265</v>
      </c>
    </row>
    <row r="786" spans="3:24" x14ac:dyDescent="0.35">
      <c r="C786" s="2" t="s">
        <v>71</v>
      </c>
      <c r="D786" s="3">
        <v>43982</v>
      </c>
      <c r="E786">
        <v>9.8051948051948106</v>
      </c>
      <c r="F786">
        <v>26.7094694567744</v>
      </c>
      <c r="G786">
        <v>63.156288156288099</v>
      </c>
      <c r="H786">
        <v>37.708954787902101</v>
      </c>
      <c r="I786">
        <v>6600</v>
      </c>
      <c r="J786">
        <v>71.428571428571402</v>
      </c>
      <c r="K786">
        <v>6</v>
      </c>
      <c r="L786" t="b">
        <v>1</v>
      </c>
      <c r="M786" s="2" t="s">
        <v>100</v>
      </c>
      <c r="N786" s="2" t="s">
        <v>100</v>
      </c>
      <c r="O786" t="b">
        <v>1</v>
      </c>
      <c r="P786" s="2" t="s">
        <v>100</v>
      </c>
      <c r="Q786">
        <v>78.200069035947806</v>
      </c>
      <c r="R786" s="2" t="s">
        <v>100</v>
      </c>
      <c r="S786">
        <v>39.473684210526301</v>
      </c>
      <c r="T786">
        <v>1.8281499999999999</v>
      </c>
      <c r="U786" s="2" t="s">
        <v>100</v>
      </c>
      <c r="V786" t="b">
        <v>0</v>
      </c>
      <c r="W786" t="b">
        <v>1</v>
      </c>
      <c r="X786">
        <v>56.818181818181799</v>
      </c>
    </row>
    <row r="787" spans="3:24" x14ac:dyDescent="0.35">
      <c r="C787" s="2" t="s">
        <v>71</v>
      </c>
      <c r="D787" s="3">
        <v>43618</v>
      </c>
      <c r="E787">
        <v>12.9310344827586</v>
      </c>
      <c r="F787">
        <v>32.260911778984102</v>
      </c>
      <c r="G787">
        <v>47.7156879727467</v>
      </c>
      <c r="H787">
        <v>35.303513422067603</v>
      </c>
      <c r="I787">
        <v>5240</v>
      </c>
      <c r="J787">
        <v>50</v>
      </c>
      <c r="K787">
        <v>6</v>
      </c>
      <c r="L787" t="b">
        <v>1</v>
      </c>
      <c r="M787" s="2" t="s">
        <v>100</v>
      </c>
      <c r="N787" s="2" t="s">
        <v>100</v>
      </c>
      <c r="O787" t="b">
        <v>1</v>
      </c>
      <c r="P787" s="2" t="s">
        <v>100</v>
      </c>
      <c r="Q787">
        <v>80.269779293880703</v>
      </c>
      <c r="R787" s="2" t="s">
        <v>100</v>
      </c>
      <c r="S787">
        <v>43.0555555555555</v>
      </c>
      <c r="T787">
        <v>2.1326999999999998</v>
      </c>
      <c r="U787" s="2" t="s">
        <v>100</v>
      </c>
      <c r="V787" t="b">
        <v>0</v>
      </c>
      <c r="W787" t="b">
        <v>1</v>
      </c>
      <c r="X787">
        <v>53.846153846153797</v>
      </c>
    </row>
    <row r="788" spans="3:24" x14ac:dyDescent="0.35">
      <c r="C788" s="2" t="s">
        <v>71</v>
      </c>
      <c r="D788" s="3">
        <v>43254</v>
      </c>
      <c r="E788">
        <v>0.61983471074380103</v>
      </c>
      <c r="F788">
        <v>24.895034684191302</v>
      </c>
      <c r="G788">
        <v>22.5495330365715</v>
      </c>
      <c r="H788">
        <v>20.8054316643547</v>
      </c>
      <c r="I788">
        <v>5026</v>
      </c>
      <c r="J788">
        <v>33.3333333333333</v>
      </c>
      <c r="K788">
        <v>5</v>
      </c>
      <c r="L788" t="b">
        <v>1</v>
      </c>
      <c r="M788" s="2" t="s">
        <v>100</v>
      </c>
      <c r="N788" s="2" t="s">
        <v>100</v>
      </c>
      <c r="O788" t="b">
        <v>1</v>
      </c>
      <c r="P788" s="2" t="s">
        <v>100</v>
      </c>
      <c r="Q788">
        <v>82.220517481419506</v>
      </c>
      <c r="R788" s="2" t="s">
        <v>100</v>
      </c>
      <c r="S788">
        <v>22.727272727272702</v>
      </c>
      <c r="T788">
        <v>1.0489999999999999</v>
      </c>
      <c r="U788" s="2" t="s">
        <v>100</v>
      </c>
      <c r="V788" t="b">
        <v>0</v>
      </c>
      <c r="W788" t="b">
        <v>1</v>
      </c>
      <c r="X788">
        <v>54.1666666666666</v>
      </c>
    </row>
    <row r="789" spans="3:24" x14ac:dyDescent="0.35">
      <c r="C789" s="2" t="s">
        <v>71</v>
      </c>
      <c r="D789" s="3">
        <v>42916</v>
      </c>
      <c r="E789" s="2" t="s">
        <v>100</v>
      </c>
      <c r="F789" s="2" t="s">
        <v>100</v>
      </c>
      <c r="G789" s="2" t="s">
        <v>100</v>
      </c>
      <c r="H789" s="2" t="s">
        <v>100</v>
      </c>
      <c r="I789" s="2" t="s">
        <v>100</v>
      </c>
      <c r="J789" s="2" t="s">
        <v>100</v>
      </c>
      <c r="K789" s="2" t="s">
        <v>100</v>
      </c>
      <c r="L789" s="2" t="s">
        <v>100</v>
      </c>
      <c r="M789" s="2" t="s">
        <v>100</v>
      </c>
      <c r="N789" s="2" t="s">
        <v>100</v>
      </c>
      <c r="O789" s="2" t="s">
        <v>100</v>
      </c>
      <c r="P789" s="2" t="s">
        <v>100</v>
      </c>
      <c r="Q789" s="2" t="s">
        <v>100</v>
      </c>
      <c r="R789" s="2" t="s">
        <v>100</v>
      </c>
      <c r="S789" s="2" t="s">
        <v>100</v>
      </c>
      <c r="T789" s="2" t="s">
        <v>100</v>
      </c>
      <c r="U789" s="2" t="s">
        <v>100</v>
      </c>
      <c r="V789" s="2" t="s">
        <v>100</v>
      </c>
      <c r="W789" s="2" t="s">
        <v>100</v>
      </c>
      <c r="X789" s="2" t="s">
        <v>100</v>
      </c>
    </row>
    <row r="790" spans="3:24" x14ac:dyDescent="0.35">
      <c r="C790" s="2" t="s">
        <v>71</v>
      </c>
      <c r="D790" s="3">
        <v>42551</v>
      </c>
      <c r="E790" s="2" t="s">
        <v>100</v>
      </c>
      <c r="F790" s="2" t="s">
        <v>100</v>
      </c>
      <c r="G790" s="2" t="s">
        <v>100</v>
      </c>
      <c r="H790" s="2" t="s">
        <v>100</v>
      </c>
      <c r="I790" s="2" t="s">
        <v>100</v>
      </c>
      <c r="J790" s="2" t="s">
        <v>100</v>
      </c>
      <c r="K790" s="2" t="s">
        <v>100</v>
      </c>
      <c r="L790" s="2" t="s">
        <v>100</v>
      </c>
      <c r="M790" s="2" t="s">
        <v>100</v>
      </c>
      <c r="N790" s="2" t="s">
        <v>100</v>
      </c>
      <c r="O790" s="2" t="s">
        <v>100</v>
      </c>
      <c r="P790" s="2" t="s">
        <v>100</v>
      </c>
      <c r="Q790" s="2" t="s">
        <v>100</v>
      </c>
      <c r="R790" s="2" t="s">
        <v>100</v>
      </c>
      <c r="S790" s="2" t="s">
        <v>100</v>
      </c>
      <c r="T790" s="2" t="s">
        <v>100</v>
      </c>
      <c r="U790" s="2" t="s">
        <v>100</v>
      </c>
      <c r="V790" s="2" t="s">
        <v>100</v>
      </c>
      <c r="W790" s="2" t="s">
        <v>100</v>
      </c>
      <c r="X790" s="2" t="s">
        <v>100</v>
      </c>
    </row>
    <row r="791" spans="3:24" x14ac:dyDescent="0.35">
      <c r="C791" s="2" t="s">
        <v>71</v>
      </c>
      <c r="D791" s="3">
        <v>45473</v>
      </c>
      <c r="E791" s="2" t="s">
        <v>100</v>
      </c>
      <c r="F791" s="2" t="s">
        <v>100</v>
      </c>
      <c r="G791" s="2" t="s">
        <v>100</v>
      </c>
      <c r="H791" s="2" t="s">
        <v>100</v>
      </c>
      <c r="I791" s="2" t="s">
        <v>100</v>
      </c>
      <c r="J791" s="2" t="s">
        <v>100</v>
      </c>
      <c r="K791" s="2" t="s">
        <v>100</v>
      </c>
      <c r="L791" s="2" t="s">
        <v>100</v>
      </c>
      <c r="M791" s="2" t="s">
        <v>100</v>
      </c>
      <c r="N791" s="2" t="s">
        <v>100</v>
      </c>
      <c r="O791" s="2" t="s">
        <v>100</v>
      </c>
      <c r="P791" s="2" t="s">
        <v>100</v>
      </c>
      <c r="Q791" s="2" t="s">
        <v>100</v>
      </c>
      <c r="R791" s="2" t="s">
        <v>100</v>
      </c>
      <c r="S791" s="2" t="s">
        <v>100</v>
      </c>
      <c r="T791" s="2" t="s">
        <v>100</v>
      </c>
      <c r="U791" s="2" t="s">
        <v>100</v>
      </c>
      <c r="V791" s="2" t="s">
        <v>100</v>
      </c>
      <c r="W791" s="2" t="s">
        <v>100</v>
      </c>
      <c r="X791" s="2" t="s">
        <v>100</v>
      </c>
    </row>
    <row r="792" spans="3:24" x14ac:dyDescent="0.35">
      <c r="C792" s="2" t="s">
        <v>71</v>
      </c>
      <c r="D792" s="3">
        <v>45107</v>
      </c>
      <c r="E792" s="2" t="s">
        <v>100</v>
      </c>
      <c r="F792" s="2" t="s">
        <v>100</v>
      </c>
      <c r="G792" s="2" t="s">
        <v>100</v>
      </c>
      <c r="H792" s="2" t="s">
        <v>100</v>
      </c>
      <c r="I792" s="2" t="s">
        <v>100</v>
      </c>
      <c r="J792" s="2" t="s">
        <v>100</v>
      </c>
      <c r="K792" s="2" t="s">
        <v>100</v>
      </c>
      <c r="L792" s="2" t="s">
        <v>100</v>
      </c>
      <c r="M792" s="2" t="s">
        <v>100</v>
      </c>
      <c r="N792" s="2" t="s">
        <v>100</v>
      </c>
      <c r="O792" s="2" t="s">
        <v>100</v>
      </c>
      <c r="P792" s="2" t="s">
        <v>100</v>
      </c>
      <c r="Q792" s="2" t="s">
        <v>100</v>
      </c>
      <c r="R792" s="2" t="s">
        <v>100</v>
      </c>
      <c r="S792" s="2" t="s">
        <v>100</v>
      </c>
      <c r="T792" s="2" t="s">
        <v>100</v>
      </c>
      <c r="U792" s="2" t="s">
        <v>100</v>
      </c>
      <c r="V792" s="2" t="s">
        <v>100</v>
      </c>
      <c r="W792" s="2" t="s">
        <v>100</v>
      </c>
      <c r="X792" s="2" t="s">
        <v>100</v>
      </c>
    </row>
    <row r="793" spans="3:24" x14ac:dyDescent="0.35">
      <c r="C793" s="2" t="s">
        <v>71</v>
      </c>
      <c r="D793" s="3">
        <v>44742</v>
      </c>
      <c r="E793" s="2" t="s">
        <v>100</v>
      </c>
      <c r="F793" s="2" t="s">
        <v>100</v>
      </c>
      <c r="G793" s="2" t="s">
        <v>100</v>
      </c>
      <c r="H793" s="2" t="s">
        <v>100</v>
      </c>
      <c r="I793" s="2" t="s">
        <v>100</v>
      </c>
      <c r="J793" s="2" t="s">
        <v>100</v>
      </c>
      <c r="K793" s="2" t="s">
        <v>100</v>
      </c>
      <c r="L793" s="2" t="s">
        <v>100</v>
      </c>
      <c r="M793" s="2" t="s">
        <v>100</v>
      </c>
      <c r="N793" s="2" t="s">
        <v>100</v>
      </c>
      <c r="O793" s="2" t="s">
        <v>100</v>
      </c>
      <c r="P793" s="2" t="s">
        <v>100</v>
      </c>
      <c r="Q793" s="2" t="s">
        <v>100</v>
      </c>
      <c r="R793" s="2" t="s">
        <v>100</v>
      </c>
      <c r="S793" s="2" t="s">
        <v>100</v>
      </c>
      <c r="T793" s="2" t="s">
        <v>100</v>
      </c>
      <c r="U793" s="2" t="s">
        <v>100</v>
      </c>
      <c r="V793" s="2" t="s">
        <v>100</v>
      </c>
      <c r="W793" s="2" t="s">
        <v>100</v>
      </c>
      <c r="X793" s="2" t="s">
        <v>100</v>
      </c>
    </row>
    <row r="794" spans="3:24" x14ac:dyDescent="0.35">
      <c r="C794" s="2" t="s">
        <v>71</v>
      </c>
      <c r="D794" s="3">
        <v>44377</v>
      </c>
      <c r="E794" s="2" t="s">
        <v>100</v>
      </c>
      <c r="F794" s="2" t="s">
        <v>100</v>
      </c>
      <c r="G794" s="2" t="s">
        <v>100</v>
      </c>
      <c r="H794" s="2" t="s">
        <v>100</v>
      </c>
      <c r="I794" s="2" t="s">
        <v>100</v>
      </c>
      <c r="J794" s="2" t="s">
        <v>100</v>
      </c>
      <c r="K794" s="2" t="s">
        <v>100</v>
      </c>
      <c r="L794" s="2" t="s">
        <v>100</v>
      </c>
      <c r="M794" s="2" t="s">
        <v>100</v>
      </c>
      <c r="N794" s="2" t="s">
        <v>100</v>
      </c>
      <c r="O794" s="2" t="s">
        <v>100</v>
      </c>
      <c r="P794" s="2" t="s">
        <v>100</v>
      </c>
      <c r="Q794" s="2" t="s">
        <v>100</v>
      </c>
      <c r="R794" s="2" t="s">
        <v>100</v>
      </c>
      <c r="S794" s="2" t="s">
        <v>100</v>
      </c>
      <c r="T794" s="2" t="s">
        <v>100</v>
      </c>
      <c r="U794" s="2" t="s">
        <v>100</v>
      </c>
      <c r="V794" s="2" t="s">
        <v>100</v>
      </c>
      <c r="W794" s="2" t="s">
        <v>100</v>
      </c>
      <c r="X794" s="2" t="s">
        <v>100</v>
      </c>
    </row>
    <row r="795" spans="3:24" x14ac:dyDescent="0.35">
      <c r="C795" s="2" t="s">
        <v>71</v>
      </c>
      <c r="D795" s="3">
        <v>44012</v>
      </c>
      <c r="E795" s="2" t="s">
        <v>100</v>
      </c>
      <c r="F795" s="2" t="s">
        <v>100</v>
      </c>
      <c r="G795" s="2" t="s">
        <v>100</v>
      </c>
      <c r="H795" s="2" t="s">
        <v>100</v>
      </c>
      <c r="I795" s="2" t="s">
        <v>100</v>
      </c>
      <c r="J795" s="2" t="s">
        <v>100</v>
      </c>
      <c r="K795" s="2" t="s">
        <v>100</v>
      </c>
      <c r="L795" s="2" t="s">
        <v>100</v>
      </c>
      <c r="M795" s="2" t="s">
        <v>100</v>
      </c>
      <c r="N795" s="2" t="s">
        <v>100</v>
      </c>
      <c r="O795" s="2" t="s">
        <v>100</v>
      </c>
      <c r="P795" s="2" t="s">
        <v>100</v>
      </c>
      <c r="Q795" s="2" t="s">
        <v>100</v>
      </c>
      <c r="R795" s="2" t="s">
        <v>100</v>
      </c>
      <c r="S795" s="2" t="s">
        <v>100</v>
      </c>
      <c r="T795" s="2" t="s">
        <v>100</v>
      </c>
      <c r="U795" s="2" t="s">
        <v>100</v>
      </c>
      <c r="V795" s="2" t="s">
        <v>100</v>
      </c>
      <c r="W795" s="2" t="s">
        <v>100</v>
      </c>
      <c r="X795" s="2" t="s">
        <v>100</v>
      </c>
    </row>
    <row r="796" spans="3:24" x14ac:dyDescent="0.35">
      <c r="C796" s="2" t="s">
        <v>71</v>
      </c>
      <c r="D796" s="3">
        <v>43646</v>
      </c>
      <c r="E796" s="2" t="s">
        <v>100</v>
      </c>
      <c r="F796" s="2" t="s">
        <v>100</v>
      </c>
      <c r="G796" s="2" t="s">
        <v>100</v>
      </c>
      <c r="H796" s="2" t="s">
        <v>100</v>
      </c>
      <c r="I796" s="2" t="s">
        <v>100</v>
      </c>
      <c r="J796" s="2" t="s">
        <v>100</v>
      </c>
      <c r="K796" s="2" t="s">
        <v>100</v>
      </c>
      <c r="L796" s="2" t="s">
        <v>100</v>
      </c>
      <c r="M796" s="2" t="s">
        <v>100</v>
      </c>
      <c r="N796" s="2" t="s">
        <v>100</v>
      </c>
      <c r="O796" s="2" t="s">
        <v>100</v>
      </c>
      <c r="P796" s="2" t="s">
        <v>100</v>
      </c>
      <c r="Q796" s="2" t="s">
        <v>100</v>
      </c>
      <c r="R796" s="2" t="s">
        <v>100</v>
      </c>
      <c r="S796" s="2" t="s">
        <v>100</v>
      </c>
      <c r="T796" s="2" t="s">
        <v>100</v>
      </c>
      <c r="U796" s="2" t="s">
        <v>100</v>
      </c>
      <c r="V796" s="2" t="s">
        <v>100</v>
      </c>
      <c r="W796" s="2" t="s">
        <v>100</v>
      </c>
      <c r="X796" s="2" t="s">
        <v>100</v>
      </c>
    </row>
    <row r="797" spans="3:24" x14ac:dyDescent="0.35">
      <c r="C797" s="2" t="s">
        <v>71</v>
      </c>
      <c r="D797" s="3">
        <v>43281</v>
      </c>
      <c r="E797" s="2" t="s">
        <v>100</v>
      </c>
      <c r="F797" s="2" t="s">
        <v>100</v>
      </c>
      <c r="G797" s="2" t="s">
        <v>100</v>
      </c>
      <c r="H797" s="2" t="s">
        <v>100</v>
      </c>
      <c r="I797" s="2" t="s">
        <v>100</v>
      </c>
      <c r="J797" s="2" t="s">
        <v>100</v>
      </c>
      <c r="K797" s="2" t="s">
        <v>100</v>
      </c>
      <c r="L797" s="2" t="s">
        <v>100</v>
      </c>
      <c r="M797" s="2" t="s">
        <v>100</v>
      </c>
      <c r="N797" s="2" t="s">
        <v>100</v>
      </c>
      <c r="O797" s="2" t="s">
        <v>100</v>
      </c>
      <c r="P797" s="2" t="s">
        <v>100</v>
      </c>
      <c r="Q797" s="2" t="s">
        <v>100</v>
      </c>
      <c r="R797" s="2" t="s">
        <v>100</v>
      </c>
      <c r="S797" s="2" t="s">
        <v>100</v>
      </c>
      <c r="T797" s="2" t="s">
        <v>100</v>
      </c>
      <c r="U797" s="2" t="s">
        <v>100</v>
      </c>
      <c r="V797" s="2" t="s">
        <v>100</v>
      </c>
      <c r="W797" s="2" t="s">
        <v>100</v>
      </c>
      <c r="X797" s="2" t="s">
        <v>100</v>
      </c>
    </row>
    <row r="798" spans="3:24" x14ac:dyDescent="0.35">
      <c r="C798" s="2" t="s">
        <v>71</v>
      </c>
      <c r="D798" s="3">
        <v>44347</v>
      </c>
      <c r="E798" s="2" t="s">
        <v>100</v>
      </c>
      <c r="F798" s="2" t="s">
        <v>100</v>
      </c>
      <c r="G798" s="2" t="s">
        <v>100</v>
      </c>
      <c r="H798" s="2" t="s">
        <v>100</v>
      </c>
      <c r="I798" s="2" t="s">
        <v>100</v>
      </c>
      <c r="J798" s="2" t="s">
        <v>100</v>
      </c>
      <c r="K798" s="2" t="s">
        <v>100</v>
      </c>
      <c r="L798" s="2" t="s">
        <v>100</v>
      </c>
      <c r="M798" s="2" t="s">
        <v>100</v>
      </c>
      <c r="N798" s="2" t="s">
        <v>100</v>
      </c>
      <c r="O798" s="2" t="s">
        <v>100</v>
      </c>
      <c r="P798" s="2" t="s">
        <v>100</v>
      </c>
      <c r="Q798" s="2" t="s">
        <v>100</v>
      </c>
      <c r="R798" s="2" t="s">
        <v>100</v>
      </c>
      <c r="S798" s="2" t="s">
        <v>100</v>
      </c>
      <c r="T798" s="2" t="s">
        <v>100</v>
      </c>
      <c r="U798" s="2" t="s">
        <v>100</v>
      </c>
      <c r="V798" s="2" t="s">
        <v>100</v>
      </c>
      <c r="W798" s="2" t="s">
        <v>100</v>
      </c>
      <c r="X798" s="2" t="s">
        <v>100</v>
      </c>
    </row>
    <row r="799" spans="3:24" x14ac:dyDescent="0.35">
      <c r="C799" s="2" t="s">
        <v>71</v>
      </c>
      <c r="D799" s="3">
        <v>43616</v>
      </c>
      <c r="E799" s="2" t="s">
        <v>100</v>
      </c>
      <c r="F799" s="2" t="s">
        <v>100</v>
      </c>
      <c r="G799" s="2" t="s">
        <v>100</v>
      </c>
      <c r="H799" s="2" t="s">
        <v>100</v>
      </c>
      <c r="I799" s="2" t="s">
        <v>100</v>
      </c>
      <c r="J799" s="2" t="s">
        <v>100</v>
      </c>
      <c r="K799" s="2" t="s">
        <v>100</v>
      </c>
      <c r="L799" s="2" t="s">
        <v>100</v>
      </c>
      <c r="M799" s="2" t="s">
        <v>100</v>
      </c>
      <c r="N799" s="2" t="s">
        <v>100</v>
      </c>
      <c r="O799" s="2" t="s">
        <v>100</v>
      </c>
      <c r="P799" s="2" t="s">
        <v>100</v>
      </c>
      <c r="Q799" s="2" t="s">
        <v>100</v>
      </c>
      <c r="R799" s="2" t="s">
        <v>100</v>
      </c>
      <c r="S799" s="2" t="s">
        <v>100</v>
      </c>
      <c r="T799" s="2" t="s">
        <v>100</v>
      </c>
      <c r="U799" s="2" t="s">
        <v>100</v>
      </c>
      <c r="V799" s="2" t="s">
        <v>100</v>
      </c>
      <c r="W799" s="2" t="s">
        <v>100</v>
      </c>
      <c r="X799" s="2" t="s">
        <v>100</v>
      </c>
    </row>
    <row r="800" spans="3:24" x14ac:dyDescent="0.35">
      <c r="C800" s="2" t="s">
        <v>71</v>
      </c>
      <c r="D800" s="3">
        <v>43251</v>
      </c>
      <c r="E800" s="2" t="s">
        <v>100</v>
      </c>
      <c r="F800" s="2" t="s">
        <v>100</v>
      </c>
      <c r="G800" s="2" t="s">
        <v>100</v>
      </c>
      <c r="H800" s="2" t="s">
        <v>100</v>
      </c>
      <c r="I800" s="2" t="s">
        <v>100</v>
      </c>
      <c r="J800" s="2" t="s">
        <v>100</v>
      </c>
      <c r="K800" s="2" t="s">
        <v>100</v>
      </c>
      <c r="L800" s="2" t="s">
        <v>100</v>
      </c>
      <c r="M800" s="2" t="s">
        <v>100</v>
      </c>
      <c r="N800" s="2" t="s">
        <v>100</v>
      </c>
      <c r="O800" s="2" t="s">
        <v>100</v>
      </c>
      <c r="P800" s="2" t="s">
        <v>100</v>
      </c>
      <c r="Q800" s="2" t="s">
        <v>100</v>
      </c>
      <c r="R800" s="2" t="s">
        <v>100</v>
      </c>
      <c r="S800" s="2" t="s">
        <v>100</v>
      </c>
      <c r="T800" s="2" t="s">
        <v>100</v>
      </c>
      <c r="U800" s="2" t="s">
        <v>100</v>
      </c>
      <c r="V800" s="2" t="s">
        <v>100</v>
      </c>
      <c r="W800" s="2" t="s">
        <v>100</v>
      </c>
      <c r="X800" s="2" t="s">
        <v>100</v>
      </c>
    </row>
    <row r="801" spans="3:24" x14ac:dyDescent="0.35">
      <c r="C801" s="2" t="s">
        <v>71</v>
      </c>
      <c r="D801" s="3">
        <v>42886</v>
      </c>
      <c r="E801" s="2" t="s">
        <v>100</v>
      </c>
      <c r="F801" s="2" t="s">
        <v>100</v>
      </c>
      <c r="G801" s="2" t="s">
        <v>100</v>
      </c>
      <c r="H801" s="2" t="s">
        <v>100</v>
      </c>
      <c r="I801" s="2" t="s">
        <v>100</v>
      </c>
      <c r="J801" s="2" t="s">
        <v>100</v>
      </c>
      <c r="K801" s="2" t="s">
        <v>100</v>
      </c>
      <c r="L801" s="2" t="s">
        <v>100</v>
      </c>
      <c r="M801" s="2" t="s">
        <v>100</v>
      </c>
      <c r="N801" s="2" t="s">
        <v>100</v>
      </c>
      <c r="O801" s="2" t="s">
        <v>100</v>
      </c>
      <c r="P801" s="2" t="s">
        <v>100</v>
      </c>
      <c r="Q801" s="2" t="s">
        <v>100</v>
      </c>
      <c r="R801" s="2" t="s">
        <v>100</v>
      </c>
      <c r="S801" s="2" t="s">
        <v>100</v>
      </c>
      <c r="T801" s="2" t="s">
        <v>100</v>
      </c>
      <c r="U801" s="2" t="s">
        <v>100</v>
      </c>
      <c r="V801" s="2" t="s">
        <v>100</v>
      </c>
      <c r="W801" s="2" t="s">
        <v>100</v>
      </c>
      <c r="X801" s="2" t="s">
        <v>100</v>
      </c>
    </row>
    <row r="802" spans="3:24" x14ac:dyDescent="0.35">
      <c r="C802" s="2" t="s">
        <v>71</v>
      </c>
      <c r="D802" s="3">
        <v>42521</v>
      </c>
      <c r="E802" s="2" t="s">
        <v>100</v>
      </c>
      <c r="F802" s="2" t="s">
        <v>100</v>
      </c>
      <c r="G802" s="2" t="s">
        <v>100</v>
      </c>
      <c r="H802" s="2" t="s">
        <v>100</v>
      </c>
      <c r="I802" s="2" t="s">
        <v>100</v>
      </c>
      <c r="J802" s="2" t="s">
        <v>100</v>
      </c>
      <c r="K802" s="2" t="s">
        <v>100</v>
      </c>
      <c r="L802" s="2" t="s">
        <v>100</v>
      </c>
      <c r="M802" s="2" t="s">
        <v>100</v>
      </c>
      <c r="N802" s="2" t="s">
        <v>100</v>
      </c>
      <c r="O802" s="2" t="s">
        <v>100</v>
      </c>
      <c r="P802" s="2" t="s">
        <v>100</v>
      </c>
      <c r="Q802" s="2" t="s">
        <v>100</v>
      </c>
      <c r="R802" s="2" t="s">
        <v>100</v>
      </c>
      <c r="S802" s="2" t="s">
        <v>100</v>
      </c>
      <c r="T802" s="2" t="s">
        <v>100</v>
      </c>
      <c r="U802" s="2" t="s">
        <v>100</v>
      </c>
      <c r="V802" s="2" t="s">
        <v>100</v>
      </c>
      <c r="W802" s="2" t="s">
        <v>100</v>
      </c>
      <c r="X802" s="2" t="s">
        <v>100</v>
      </c>
    </row>
    <row r="803" spans="3:24" x14ac:dyDescent="0.35">
      <c r="C803" s="2" t="s">
        <v>71</v>
      </c>
      <c r="D803" s="3">
        <v>45808</v>
      </c>
      <c r="E803" s="2" t="s">
        <v>100</v>
      </c>
      <c r="F803" s="2" t="s">
        <v>100</v>
      </c>
      <c r="G803" s="2" t="s">
        <v>100</v>
      </c>
      <c r="H803" s="2" t="s">
        <v>100</v>
      </c>
      <c r="I803" s="2" t="s">
        <v>100</v>
      </c>
      <c r="J803" s="2" t="s">
        <v>100</v>
      </c>
      <c r="K803" s="2" t="s">
        <v>100</v>
      </c>
      <c r="L803" s="2" t="s">
        <v>100</v>
      </c>
      <c r="M803" s="2" t="s">
        <v>100</v>
      </c>
      <c r="N803" s="2" t="s">
        <v>100</v>
      </c>
      <c r="O803" s="2" t="s">
        <v>100</v>
      </c>
      <c r="P803" s="2" t="s">
        <v>100</v>
      </c>
      <c r="Q803" s="2" t="s">
        <v>100</v>
      </c>
      <c r="R803" s="2" t="s">
        <v>100</v>
      </c>
      <c r="S803" s="2" t="s">
        <v>100</v>
      </c>
      <c r="T803" s="2" t="s">
        <v>100</v>
      </c>
      <c r="U803" s="2" t="s">
        <v>100</v>
      </c>
      <c r="V803" s="2" t="s">
        <v>100</v>
      </c>
      <c r="W803" s="2" t="s">
        <v>100</v>
      </c>
      <c r="X803" s="2" t="s">
        <v>100</v>
      </c>
    </row>
    <row r="804" spans="3:24" x14ac:dyDescent="0.35">
      <c r="C804" s="2" t="s">
        <v>71</v>
      </c>
      <c r="D804" s="3">
        <v>45443</v>
      </c>
      <c r="E804" s="2" t="s">
        <v>100</v>
      </c>
      <c r="F804" s="2" t="s">
        <v>100</v>
      </c>
      <c r="G804" s="2" t="s">
        <v>100</v>
      </c>
      <c r="H804" s="2" t="s">
        <v>100</v>
      </c>
      <c r="I804" s="2" t="s">
        <v>100</v>
      </c>
      <c r="J804" s="2" t="s">
        <v>100</v>
      </c>
      <c r="K804" s="2" t="s">
        <v>100</v>
      </c>
      <c r="L804" s="2" t="s">
        <v>100</v>
      </c>
      <c r="M804" s="2" t="s">
        <v>100</v>
      </c>
      <c r="N804" s="2" t="s">
        <v>100</v>
      </c>
      <c r="O804" s="2" t="s">
        <v>100</v>
      </c>
      <c r="P804" s="2" t="s">
        <v>100</v>
      </c>
      <c r="Q804" s="2" t="s">
        <v>100</v>
      </c>
      <c r="R804" s="2" t="s">
        <v>100</v>
      </c>
      <c r="S804" s="2" t="s">
        <v>100</v>
      </c>
      <c r="T804" s="2" t="s">
        <v>100</v>
      </c>
      <c r="U804" s="2" t="s">
        <v>100</v>
      </c>
      <c r="V804" s="2" t="s">
        <v>100</v>
      </c>
      <c r="W804" s="2" t="s">
        <v>100</v>
      </c>
      <c r="X804" s="2" t="s">
        <v>100</v>
      </c>
    </row>
    <row r="805" spans="3:24" x14ac:dyDescent="0.35">
      <c r="C805" s="2" t="s">
        <v>71</v>
      </c>
      <c r="D805" s="3">
        <v>45077</v>
      </c>
      <c r="E805" s="2" t="s">
        <v>100</v>
      </c>
      <c r="F805" s="2" t="s">
        <v>100</v>
      </c>
      <c r="G805" s="2" t="s">
        <v>100</v>
      </c>
      <c r="H805" s="2" t="s">
        <v>100</v>
      </c>
      <c r="I805" s="2" t="s">
        <v>100</v>
      </c>
      <c r="J805" s="2" t="s">
        <v>100</v>
      </c>
      <c r="K805" s="2" t="s">
        <v>100</v>
      </c>
      <c r="L805" s="2" t="s">
        <v>100</v>
      </c>
      <c r="M805" s="2" t="s">
        <v>100</v>
      </c>
      <c r="N805" s="2" t="s">
        <v>100</v>
      </c>
      <c r="O805" s="2" t="s">
        <v>100</v>
      </c>
      <c r="P805" s="2" t="s">
        <v>100</v>
      </c>
      <c r="Q805" s="2" t="s">
        <v>100</v>
      </c>
      <c r="R805" s="2" t="s">
        <v>100</v>
      </c>
      <c r="S805" s="2" t="s">
        <v>100</v>
      </c>
      <c r="T805" s="2" t="s">
        <v>100</v>
      </c>
      <c r="U805" s="2" t="s">
        <v>100</v>
      </c>
      <c r="V805" s="2" t="s">
        <v>100</v>
      </c>
      <c r="W805" s="2" t="s">
        <v>100</v>
      </c>
      <c r="X805" s="2" t="s">
        <v>100</v>
      </c>
    </row>
    <row r="806" spans="3:24" x14ac:dyDescent="0.35">
      <c r="C806" s="2" t="s">
        <v>71</v>
      </c>
      <c r="D806" s="3">
        <v>44712</v>
      </c>
      <c r="E806" s="2" t="s">
        <v>100</v>
      </c>
      <c r="F806" s="2" t="s">
        <v>100</v>
      </c>
      <c r="G806" s="2" t="s">
        <v>100</v>
      </c>
      <c r="H806" s="2" t="s">
        <v>100</v>
      </c>
      <c r="I806" s="2" t="s">
        <v>100</v>
      </c>
      <c r="J806" s="2" t="s">
        <v>100</v>
      </c>
      <c r="K806" s="2" t="s">
        <v>100</v>
      </c>
      <c r="L806" s="2" t="s">
        <v>100</v>
      </c>
      <c r="M806" s="2" t="s">
        <v>100</v>
      </c>
      <c r="N806" s="2" t="s">
        <v>100</v>
      </c>
      <c r="O806" s="2" t="s">
        <v>100</v>
      </c>
      <c r="P806" s="2" t="s">
        <v>100</v>
      </c>
      <c r="Q806" s="2" t="s">
        <v>100</v>
      </c>
      <c r="R806" s="2" t="s">
        <v>100</v>
      </c>
      <c r="S806" s="2" t="s">
        <v>100</v>
      </c>
      <c r="T806" s="2" t="s">
        <v>100</v>
      </c>
      <c r="U806" s="2" t="s">
        <v>100</v>
      </c>
      <c r="V806" s="2" t="s">
        <v>100</v>
      </c>
      <c r="W806" s="2" t="s">
        <v>100</v>
      </c>
      <c r="X806" s="2" t="s">
        <v>100</v>
      </c>
    </row>
    <row r="807" spans="3:24" x14ac:dyDescent="0.35">
      <c r="C807" s="2" t="s">
        <v>72</v>
      </c>
      <c r="D807" s="3">
        <v>45382</v>
      </c>
      <c r="E807">
        <v>0</v>
      </c>
      <c r="F807">
        <v>12.857142857142801</v>
      </c>
      <c r="G807">
        <v>18.5980670212696</v>
      </c>
      <c r="H807">
        <v>14.491839724437</v>
      </c>
      <c r="I807" s="2" t="s">
        <v>100</v>
      </c>
      <c r="J807">
        <v>100</v>
      </c>
      <c r="K807">
        <v>6</v>
      </c>
      <c r="L807" t="b">
        <v>0</v>
      </c>
      <c r="M807" s="2" t="s">
        <v>100</v>
      </c>
      <c r="N807" s="2" t="s">
        <v>100</v>
      </c>
      <c r="O807" s="2" t="s">
        <v>100</v>
      </c>
      <c r="P807" s="2" t="s">
        <v>100</v>
      </c>
      <c r="Q807">
        <v>2.99015855273346</v>
      </c>
      <c r="R807" t="b">
        <v>0</v>
      </c>
      <c r="S807">
        <v>0</v>
      </c>
      <c r="T807" s="2" t="s">
        <v>100</v>
      </c>
      <c r="U807" s="2" t="s">
        <v>100</v>
      </c>
      <c r="V807" t="b">
        <v>0</v>
      </c>
      <c r="W807" t="b">
        <v>1</v>
      </c>
      <c r="X807">
        <v>0</v>
      </c>
    </row>
    <row r="808" spans="3:24" x14ac:dyDescent="0.35">
      <c r="C808" s="2" t="s">
        <v>72</v>
      </c>
      <c r="D808" s="3">
        <v>45016</v>
      </c>
      <c r="E808">
        <v>0</v>
      </c>
      <c r="F808">
        <v>14.2021720969089</v>
      </c>
      <c r="G808">
        <v>12.2901630038115</v>
      </c>
      <c r="H808">
        <v>11.7510550990686</v>
      </c>
      <c r="I808" s="2" t="s">
        <v>100</v>
      </c>
      <c r="J808">
        <v>83.3333333333333</v>
      </c>
      <c r="K808">
        <v>5</v>
      </c>
      <c r="L808" t="b">
        <v>0</v>
      </c>
      <c r="M808" s="2" t="s">
        <v>100</v>
      </c>
      <c r="N808" s="2" t="s">
        <v>100</v>
      </c>
      <c r="O808" s="2" t="s">
        <v>100</v>
      </c>
      <c r="P808" s="2" t="s">
        <v>100</v>
      </c>
      <c r="Q808">
        <v>3.6545850058652198</v>
      </c>
      <c r="R808" t="b">
        <v>0</v>
      </c>
      <c r="S808">
        <v>0</v>
      </c>
      <c r="T808" s="2" t="s">
        <v>100</v>
      </c>
      <c r="U808" s="2" t="s">
        <v>100</v>
      </c>
      <c r="V808" t="b">
        <v>0</v>
      </c>
      <c r="W808" t="b">
        <v>1</v>
      </c>
      <c r="X808">
        <v>0</v>
      </c>
    </row>
    <row r="809" spans="3:24" x14ac:dyDescent="0.35">
      <c r="C809" s="2" t="s">
        <v>72</v>
      </c>
      <c r="D809" s="3">
        <v>44651</v>
      </c>
      <c r="E809">
        <v>0</v>
      </c>
      <c r="F809">
        <v>14.8179855579542</v>
      </c>
      <c r="G809">
        <v>10.4280217717717</v>
      </c>
      <c r="H809" s="2">
        <v>11.0253180462086</v>
      </c>
      <c r="I809" s="2" t="s">
        <v>100</v>
      </c>
      <c r="J809">
        <v>83.3333333333333</v>
      </c>
      <c r="K809">
        <v>6</v>
      </c>
      <c r="L809" t="b">
        <v>0</v>
      </c>
      <c r="M809" s="2" t="s">
        <v>100</v>
      </c>
      <c r="N809" s="2" t="s">
        <v>100</v>
      </c>
      <c r="O809" s="2" t="s">
        <v>100</v>
      </c>
      <c r="P809" s="2" t="s">
        <v>100</v>
      </c>
      <c r="Q809">
        <v>5.58586730087102</v>
      </c>
      <c r="R809" t="b">
        <v>0</v>
      </c>
      <c r="S809">
        <v>0</v>
      </c>
      <c r="T809" s="2" t="s">
        <v>100</v>
      </c>
      <c r="U809" s="2" t="s">
        <v>100</v>
      </c>
      <c r="V809" t="b">
        <v>0</v>
      </c>
      <c r="W809" t="b">
        <v>1</v>
      </c>
      <c r="X809">
        <v>0</v>
      </c>
    </row>
    <row r="810" spans="3:24" x14ac:dyDescent="0.35">
      <c r="C810" s="2" t="s">
        <v>72</v>
      </c>
      <c r="D810" s="3">
        <v>44286</v>
      </c>
      <c r="E810">
        <v>11.7886178861788</v>
      </c>
      <c r="F810">
        <v>16.694208047591498</v>
      </c>
      <c r="G810">
        <v>13.231475882199399</v>
      </c>
      <c r="H810" s="2">
        <v>14.402250925581599</v>
      </c>
      <c r="I810" s="2" t="s">
        <v>100</v>
      </c>
      <c r="J810">
        <v>100</v>
      </c>
      <c r="K810">
        <v>5</v>
      </c>
      <c r="L810" t="b">
        <v>0</v>
      </c>
      <c r="M810" s="2" t="s">
        <v>100</v>
      </c>
      <c r="N810" s="2" t="s">
        <v>100</v>
      </c>
      <c r="O810" s="2" t="s">
        <v>100</v>
      </c>
      <c r="P810" s="2" t="s">
        <v>100</v>
      </c>
      <c r="Q810">
        <v>7.48702111913025</v>
      </c>
      <c r="R810" s="2" t="s">
        <v>100</v>
      </c>
      <c r="S810">
        <v>0</v>
      </c>
      <c r="T810" s="2" t="s">
        <v>100</v>
      </c>
      <c r="U810" s="2" t="s">
        <v>100</v>
      </c>
      <c r="V810" t="b">
        <v>0</v>
      </c>
      <c r="W810" t="b">
        <v>1</v>
      </c>
      <c r="X810">
        <v>0</v>
      </c>
    </row>
    <row r="811" spans="3:24" x14ac:dyDescent="0.35">
      <c r="C811" s="2" t="s">
        <v>72</v>
      </c>
      <c r="D811" s="3">
        <v>43921</v>
      </c>
      <c r="E811">
        <v>12.2549019607843</v>
      </c>
      <c r="F811">
        <v>20.5792258423837</v>
      </c>
      <c r="G811">
        <v>18.130647130647102</v>
      </c>
      <c r="H811" s="2">
        <v>18.457679057712699</v>
      </c>
      <c r="I811" s="2" t="s">
        <v>100</v>
      </c>
      <c r="J811">
        <v>100</v>
      </c>
      <c r="K811">
        <v>5</v>
      </c>
      <c r="L811" t="b">
        <v>0</v>
      </c>
      <c r="M811" s="2" t="s">
        <v>100</v>
      </c>
      <c r="N811" s="2" t="s">
        <v>100</v>
      </c>
      <c r="O811" s="2" t="s">
        <v>100</v>
      </c>
      <c r="P811" s="2" t="s">
        <v>100</v>
      </c>
      <c r="Q811">
        <v>9.9636401822428908</v>
      </c>
      <c r="R811" s="2" t="s">
        <v>100</v>
      </c>
      <c r="S811">
        <v>0</v>
      </c>
      <c r="T811" s="2" t="s">
        <v>100</v>
      </c>
      <c r="U811" s="2" t="s">
        <v>100</v>
      </c>
      <c r="V811" t="b">
        <v>0</v>
      </c>
      <c r="W811" t="b">
        <v>1</v>
      </c>
      <c r="X811">
        <v>0</v>
      </c>
    </row>
    <row r="812" spans="3:24" x14ac:dyDescent="0.35">
      <c r="C812" s="2" t="s">
        <v>72</v>
      </c>
      <c r="D812" s="3">
        <v>43555</v>
      </c>
      <c r="E812">
        <v>11.1111111111111</v>
      </c>
      <c r="F812">
        <v>20.408898959728099</v>
      </c>
      <c r="G812">
        <v>12.2838501068191</v>
      </c>
      <c r="H812" s="2">
        <v>15.259245217396099</v>
      </c>
      <c r="I812" s="2" t="s">
        <v>100</v>
      </c>
      <c r="J812">
        <v>100</v>
      </c>
      <c r="K812">
        <v>5</v>
      </c>
      <c r="L812" t="b">
        <v>0</v>
      </c>
      <c r="M812" s="2" t="s">
        <v>100</v>
      </c>
      <c r="N812" s="2" t="s">
        <v>100</v>
      </c>
      <c r="O812" s="2" t="s">
        <v>100</v>
      </c>
      <c r="P812" s="2" t="s">
        <v>100</v>
      </c>
      <c r="Q812">
        <v>12.008762479708199</v>
      </c>
      <c r="R812" s="2" t="s">
        <v>100</v>
      </c>
      <c r="S812">
        <v>0</v>
      </c>
      <c r="T812" s="2" t="s">
        <v>100</v>
      </c>
      <c r="U812" s="2" t="s">
        <v>100</v>
      </c>
      <c r="V812" t="b">
        <v>0</v>
      </c>
      <c r="W812" t="b">
        <v>1</v>
      </c>
      <c r="X812">
        <v>0</v>
      </c>
    </row>
    <row r="813" spans="3:24" x14ac:dyDescent="0.35">
      <c r="C813" s="2" t="s">
        <v>72</v>
      </c>
      <c r="D813" s="3">
        <v>43190</v>
      </c>
      <c r="E813">
        <v>10.4166666666666</v>
      </c>
      <c r="F813">
        <v>22.663802363050401</v>
      </c>
      <c r="G813">
        <v>11.2954677413846</v>
      </c>
      <c r="H813" s="2">
        <v>15.5371630594124</v>
      </c>
      <c r="I813" s="2" t="s">
        <v>100</v>
      </c>
      <c r="J813">
        <v>100</v>
      </c>
      <c r="K813">
        <v>5</v>
      </c>
      <c r="L813" t="b">
        <v>0</v>
      </c>
      <c r="M813" s="2" t="s">
        <v>100</v>
      </c>
      <c r="N813" s="2" t="s">
        <v>100</v>
      </c>
      <c r="O813" s="2" t="s">
        <v>100</v>
      </c>
      <c r="P813" s="2" t="s">
        <v>100</v>
      </c>
      <c r="Q813">
        <v>13.9549058403905</v>
      </c>
      <c r="R813" s="2" t="s">
        <v>100</v>
      </c>
      <c r="S813">
        <v>0</v>
      </c>
      <c r="T813" s="2" t="s">
        <v>100</v>
      </c>
      <c r="U813" s="2" t="s">
        <v>100</v>
      </c>
      <c r="V813" t="b">
        <v>0</v>
      </c>
      <c r="W813" t="b">
        <v>1</v>
      </c>
      <c r="X813">
        <v>0</v>
      </c>
    </row>
    <row r="814" spans="3:24" x14ac:dyDescent="0.35">
      <c r="C814" s="2" t="s">
        <v>72</v>
      </c>
      <c r="D814" s="3">
        <v>42825</v>
      </c>
      <c r="E814">
        <v>12.2807017543859</v>
      </c>
      <c r="F814">
        <v>24.463431305536499</v>
      </c>
      <c r="G814">
        <v>8.1229085636422393</v>
      </c>
      <c r="H814">
        <v>14.7789832901142</v>
      </c>
      <c r="I814" s="2" t="s">
        <v>100</v>
      </c>
      <c r="J814">
        <v>100</v>
      </c>
      <c r="K814">
        <v>5</v>
      </c>
      <c r="L814" t="b">
        <v>0</v>
      </c>
      <c r="M814" s="2" t="s">
        <v>100</v>
      </c>
      <c r="N814" s="2" t="s">
        <v>100</v>
      </c>
      <c r="O814" s="2" t="s">
        <v>100</v>
      </c>
      <c r="P814" s="2" t="s">
        <v>100</v>
      </c>
      <c r="Q814">
        <v>17.695432117423302</v>
      </c>
      <c r="R814" s="2" t="s">
        <v>100</v>
      </c>
      <c r="S814">
        <v>0</v>
      </c>
      <c r="T814" s="2" t="s">
        <v>100</v>
      </c>
      <c r="U814" s="2" t="s">
        <v>100</v>
      </c>
      <c r="V814" t="b">
        <v>0</v>
      </c>
      <c r="W814" t="b">
        <v>1</v>
      </c>
      <c r="X814">
        <v>0</v>
      </c>
    </row>
    <row r="815" spans="3:24" x14ac:dyDescent="0.35">
      <c r="C815" s="2" t="s">
        <v>72</v>
      </c>
      <c r="D815" s="3">
        <v>42460</v>
      </c>
      <c r="E815">
        <v>14.1666666666666</v>
      </c>
      <c r="F815">
        <v>24.497289735967801</v>
      </c>
      <c r="G815">
        <v>18.6215984986476</v>
      </c>
      <c r="H815">
        <v>20.4012242539836</v>
      </c>
      <c r="I815" s="2" t="s">
        <v>100</v>
      </c>
      <c r="J815">
        <v>100</v>
      </c>
      <c r="K815">
        <v>6</v>
      </c>
      <c r="L815" t="b">
        <v>0</v>
      </c>
      <c r="M815" s="2" t="s">
        <v>100</v>
      </c>
      <c r="N815" s="2" t="s">
        <v>100</v>
      </c>
      <c r="O815" s="2" t="s">
        <v>100</v>
      </c>
      <c r="P815" s="2" t="s">
        <v>100</v>
      </c>
      <c r="Q815">
        <v>18.497865737530599</v>
      </c>
      <c r="R815" s="2" t="s">
        <v>100</v>
      </c>
      <c r="S815">
        <v>0</v>
      </c>
      <c r="T815" s="2" t="s">
        <v>100</v>
      </c>
      <c r="U815" s="2" t="s">
        <v>100</v>
      </c>
      <c r="V815" t="b">
        <v>0</v>
      </c>
      <c r="W815" t="b">
        <v>1</v>
      </c>
      <c r="X815">
        <v>0</v>
      </c>
    </row>
    <row r="816" spans="3:24" x14ac:dyDescent="0.35">
      <c r="C816" s="2" t="s">
        <v>72</v>
      </c>
      <c r="D816" s="3">
        <v>42094</v>
      </c>
      <c r="E816">
        <v>12.7450980392156</v>
      </c>
      <c r="F816">
        <v>25.939849624060098</v>
      </c>
      <c r="G816">
        <v>22.599557676964199</v>
      </c>
      <c r="H816">
        <v>22.855999745745802</v>
      </c>
      <c r="I816">
        <v>0</v>
      </c>
      <c r="J816">
        <v>100</v>
      </c>
      <c r="K816">
        <v>6</v>
      </c>
      <c r="L816" t="b">
        <v>0</v>
      </c>
      <c r="M816" s="2" t="s">
        <v>100</v>
      </c>
      <c r="N816" s="2" t="s">
        <v>100</v>
      </c>
      <c r="O816" s="2" t="s">
        <v>100</v>
      </c>
      <c r="P816" s="2" t="s">
        <v>100</v>
      </c>
      <c r="Q816">
        <v>18.9460637435099</v>
      </c>
      <c r="R816" s="2" t="s">
        <v>100</v>
      </c>
      <c r="S816">
        <v>0</v>
      </c>
      <c r="T816" s="2" t="s">
        <v>100</v>
      </c>
      <c r="U816" s="2" t="s">
        <v>100</v>
      </c>
      <c r="V816" t="b">
        <v>0</v>
      </c>
      <c r="W816" t="b">
        <v>1</v>
      </c>
      <c r="X816">
        <v>0</v>
      </c>
    </row>
    <row r="817" spans="3:24" x14ac:dyDescent="0.35">
      <c r="C817" s="2" t="s">
        <v>73</v>
      </c>
      <c r="D817" s="3">
        <v>46022</v>
      </c>
      <c r="E817">
        <v>75.066658148053406</v>
      </c>
      <c r="F817">
        <v>85.792626752081901</v>
      </c>
      <c r="G817">
        <v>67.894465894465796</v>
      </c>
      <c r="H817">
        <v>77.622137182900204</v>
      </c>
      <c r="I817">
        <v>21594000</v>
      </c>
      <c r="J817">
        <v>75</v>
      </c>
      <c r="K817">
        <v>8</v>
      </c>
      <c r="L817" t="b">
        <v>1</v>
      </c>
      <c r="M817">
        <v>2894702000</v>
      </c>
      <c r="N817" s="2" t="s">
        <v>100</v>
      </c>
      <c r="O817" t="b">
        <v>1</v>
      </c>
      <c r="P817">
        <v>5882294</v>
      </c>
      <c r="Q817">
        <v>69.909916611739803</v>
      </c>
      <c r="R817" t="b">
        <v>0</v>
      </c>
      <c r="S817">
        <v>91.5505226480836</v>
      </c>
      <c r="T817">
        <v>0.9</v>
      </c>
      <c r="U817" s="2" t="s">
        <v>100</v>
      </c>
      <c r="V817" t="b">
        <v>1</v>
      </c>
      <c r="W817" t="b">
        <v>1</v>
      </c>
      <c r="X817">
        <v>55.863192182410401</v>
      </c>
    </row>
    <row r="818" spans="3:24" x14ac:dyDescent="0.35">
      <c r="C818" s="2" t="s">
        <v>73</v>
      </c>
      <c r="D818" s="3">
        <v>45657</v>
      </c>
      <c r="E818">
        <v>80.199837471490497</v>
      </c>
      <c r="F818">
        <v>90.958555492348907</v>
      </c>
      <c r="G818">
        <v>83.1016731016731</v>
      </c>
      <c r="H818">
        <v>85.242337102576599</v>
      </c>
      <c r="I818">
        <v>28309000</v>
      </c>
      <c r="J818">
        <v>66.6666666666666</v>
      </c>
      <c r="K818">
        <v>8</v>
      </c>
      <c r="L818" t="b">
        <v>1</v>
      </c>
      <c r="M818">
        <v>2574363000</v>
      </c>
      <c r="N818" s="2" t="s">
        <v>100</v>
      </c>
      <c r="O818" t="b">
        <v>1</v>
      </c>
      <c r="P818">
        <v>6766058</v>
      </c>
      <c r="Q818">
        <v>70.2374273937494</v>
      </c>
      <c r="R818" t="b">
        <v>0</v>
      </c>
      <c r="S818">
        <v>93.368237347294894</v>
      </c>
      <c r="T818">
        <v>0.71</v>
      </c>
      <c r="U818">
        <v>84</v>
      </c>
      <c r="V818" t="b">
        <v>1</v>
      </c>
      <c r="W818" t="b">
        <v>1</v>
      </c>
      <c r="X818">
        <v>56.574675324675297</v>
      </c>
    </row>
    <row r="819" spans="3:24" x14ac:dyDescent="0.35">
      <c r="C819" s="2" t="s">
        <v>73</v>
      </c>
      <c r="D819" s="3">
        <v>45291</v>
      </c>
      <c r="E819">
        <v>87.090279967019796</v>
      </c>
      <c r="F819">
        <v>90.843663721826402</v>
      </c>
      <c r="G819">
        <v>89.019607843137194</v>
      </c>
      <c r="H819">
        <v>89.074628159883503</v>
      </c>
      <c r="I819">
        <v>29510000</v>
      </c>
      <c r="J819">
        <v>66.6666666666666</v>
      </c>
      <c r="K819">
        <v>8</v>
      </c>
      <c r="L819" t="b">
        <v>1</v>
      </c>
      <c r="M819">
        <v>2234353000</v>
      </c>
      <c r="N819" s="2" t="s">
        <v>100</v>
      </c>
      <c r="O819" t="b">
        <v>1</v>
      </c>
      <c r="P819">
        <v>6173524</v>
      </c>
      <c r="Q819">
        <v>71.154811864450707</v>
      </c>
      <c r="R819" t="b">
        <v>0</v>
      </c>
      <c r="S819">
        <v>92.752293577981604</v>
      </c>
      <c r="T819">
        <v>0.76</v>
      </c>
      <c r="U819" s="2" t="s">
        <v>100</v>
      </c>
      <c r="V819" t="b">
        <v>1</v>
      </c>
      <c r="W819" t="b">
        <v>1</v>
      </c>
      <c r="X819">
        <v>59.380234505862603</v>
      </c>
    </row>
    <row r="820" spans="3:24" x14ac:dyDescent="0.35">
      <c r="C820" s="2" t="s">
        <v>73</v>
      </c>
      <c r="D820" s="3">
        <v>44926</v>
      </c>
      <c r="E820">
        <v>87.667641411162194</v>
      </c>
      <c r="F820">
        <v>93.174411609546894</v>
      </c>
      <c r="G820">
        <v>89.756226815050297</v>
      </c>
      <c r="H820">
        <v>90.396758165900806</v>
      </c>
      <c r="I820">
        <v>30929000</v>
      </c>
      <c r="J820">
        <v>66.6666666666666</v>
      </c>
      <c r="K820">
        <v>9</v>
      </c>
      <c r="L820" t="b">
        <v>1</v>
      </c>
      <c r="M820">
        <v>2311341000</v>
      </c>
      <c r="N820" s="2" t="s">
        <v>100</v>
      </c>
      <c r="O820" t="b">
        <v>1</v>
      </c>
      <c r="P820">
        <v>7931000</v>
      </c>
      <c r="Q820">
        <v>73.521960578472303</v>
      </c>
      <c r="R820" t="b">
        <v>0</v>
      </c>
      <c r="S820">
        <v>93.627450980392098</v>
      </c>
      <c r="T820">
        <v>0.84</v>
      </c>
      <c r="U820">
        <v>82</v>
      </c>
      <c r="V820" t="b">
        <v>1</v>
      </c>
      <c r="W820" t="b">
        <v>1</v>
      </c>
      <c r="X820">
        <v>62.155172413793103</v>
      </c>
    </row>
    <row r="821" spans="3:24" x14ac:dyDescent="0.35">
      <c r="C821" s="2" t="s">
        <v>73</v>
      </c>
      <c r="D821" s="3">
        <v>44561</v>
      </c>
      <c r="E821">
        <v>88.682843764600904</v>
      </c>
      <c r="F821">
        <v>92.806935557719399</v>
      </c>
      <c r="G821">
        <v>76.856209150326706</v>
      </c>
      <c r="H821">
        <v>87.438386531859607</v>
      </c>
      <c r="I821">
        <v>28921000</v>
      </c>
      <c r="J821">
        <v>63.636363636363598</v>
      </c>
      <c r="K821">
        <v>8</v>
      </c>
      <c r="L821" t="b">
        <v>1</v>
      </c>
      <c r="M821">
        <v>1927354000</v>
      </c>
      <c r="N821" s="2" t="s">
        <v>100</v>
      </c>
      <c r="O821" t="b">
        <v>1</v>
      </c>
      <c r="P821">
        <v>8904324</v>
      </c>
      <c r="Q821">
        <v>75.621147307915805</v>
      </c>
      <c r="R821" t="b">
        <v>0</v>
      </c>
      <c r="S821">
        <v>94.202898550724598</v>
      </c>
      <c r="T821">
        <v>0.83</v>
      </c>
      <c r="U821" s="2" t="s">
        <v>100</v>
      </c>
      <c r="V821" t="b">
        <v>1</v>
      </c>
      <c r="W821" t="b">
        <v>1</v>
      </c>
      <c r="X821">
        <v>63.253012048192701</v>
      </c>
    </row>
    <row r="822" spans="3:24" x14ac:dyDescent="0.35">
      <c r="C822" s="2" t="s">
        <v>73</v>
      </c>
      <c r="D822" s="3">
        <v>44196</v>
      </c>
      <c r="E822">
        <v>88.550216202458898</v>
      </c>
      <c r="F822">
        <v>94.067081302501904</v>
      </c>
      <c r="G822">
        <v>84.929693961951997</v>
      </c>
      <c r="H822">
        <v>89.881432029500502</v>
      </c>
      <c r="I822">
        <v>26725000</v>
      </c>
      <c r="J822">
        <v>66.6666666666666</v>
      </c>
      <c r="K822">
        <v>9</v>
      </c>
      <c r="L822" t="b">
        <v>1</v>
      </c>
      <c r="M822">
        <v>2013385000</v>
      </c>
      <c r="N822" s="2" t="s">
        <v>100</v>
      </c>
      <c r="O822" t="b">
        <v>1</v>
      </c>
      <c r="P822">
        <v>6197246</v>
      </c>
      <c r="Q822">
        <v>78.200069035947806</v>
      </c>
      <c r="R822" t="b">
        <v>0</v>
      </c>
      <c r="S822">
        <v>94.230769230769198</v>
      </c>
      <c r="T822">
        <v>0.94</v>
      </c>
      <c r="U822">
        <v>85</v>
      </c>
      <c r="V822" t="b">
        <v>1</v>
      </c>
      <c r="W822" t="b">
        <v>1</v>
      </c>
      <c r="X822">
        <v>64.013452914798194</v>
      </c>
    </row>
    <row r="823" spans="3:24" x14ac:dyDescent="0.35">
      <c r="C823" s="2" t="s">
        <v>73</v>
      </c>
      <c r="D823" s="3">
        <v>43830</v>
      </c>
      <c r="E823">
        <v>88.648604341009303</v>
      </c>
      <c r="F823">
        <v>91.819165337376901</v>
      </c>
      <c r="G823">
        <v>93.328335832083894</v>
      </c>
      <c r="H823">
        <v>91.073798286878201</v>
      </c>
      <c r="I823">
        <v>33863000</v>
      </c>
      <c r="J823">
        <v>75</v>
      </c>
      <c r="K823">
        <v>8</v>
      </c>
      <c r="L823" t="b">
        <v>1</v>
      </c>
      <c r="M823">
        <v>2461882000</v>
      </c>
      <c r="N823" s="2" t="s">
        <v>100</v>
      </c>
      <c r="O823" t="b">
        <v>1</v>
      </c>
      <c r="P823">
        <v>7648560</v>
      </c>
      <c r="Q823">
        <v>80.269779293880703</v>
      </c>
      <c r="R823" t="b">
        <v>0</v>
      </c>
      <c r="S823">
        <v>93.553459119496793</v>
      </c>
      <c r="T823">
        <v>0.99</v>
      </c>
      <c r="U823" s="2" t="s">
        <v>100</v>
      </c>
      <c r="V823" t="b">
        <v>1</v>
      </c>
      <c r="W823" t="b">
        <v>1</v>
      </c>
      <c r="X823">
        <v>66.460396039603907</v>
      </c>
    </row>
    <row r="824" spans="3:24" x14ac:dyDescent="0.35">
      <c r="C824" s="2" t="s">
        <v>73</v>
      </c>
      <c r="D824" s="3">
        <v>43465</v>
      </c>
      <c r="E824">
        <v>87.396450705008107</v>
      </c>
      <c r="F824">
        <v>89.570801354890307</v>
      </c>
      <c r="G824">
        <v>97.727272727272705</v>
      </c>
      <c r="H824">
        <v>90.808430794670997</v>
      </c>
      <c r="I824">
        <v>30448000</v>
      </c>
      <c r="J824">
        <v>77.7777777777777</v>
      </c>
      <c r="K824">
        <v>8</v>
      </c>
      <c r="L824" t="b">
        <v>1</v>
      </c>
      <c r="M824">
        <v>2264325000</v>
      </c>
      <c r="N824" s="2" t="s">
        <v>100</v>
      </c>
      <c r="O824" t="b">
        <v>1</v>
      </c>
      <c r="P824">
        <v>6657336</v>
      </c>
      <c r="Q824">
        <v>82.220517481419506</v>
      </c>
      <c r="R824" t="b">
        <v>0</v>
      </c>
      <c r="S824">
        <v>54.580152671755698</v>
      </c>
      <c r="T824">
        <v>1.06</v>
      </c>
      <c r="U824" s="2" t="s">
        <v>100</v>
      </c>
      <c r="V824" t="b">
        <v>1</v>
      </c>
      <c r="W824" t="b">
        <v>1</v>
      </c>
      <c r="X824">
        <v>0</v>
      </c>
    </row>
    <row r="825" spans="3:24" x14ac:dyDescent="0.35">
      <c r="C825" s="2" t="s">
        <v>73</v>
      </c>
      <c r="D825" s="3">
        <v>43100</v>
      </c>
      <c r="E825">
        <v>88.353196789763402</v>
      </c>
      <c r="F825">
        <v>94.599416572291901</v>
      </c>
      <c r="G825">
        <v>89.974358974358907</v>
      </c>
      <c r="H825">
        <v>91.265125888089599</v>
      </c>
      <c r="I825">
        <v>33365000</v>
      </c>
      <c r="J825">
        <v>77.7777777777777</v>
      </c>
      <c r="K825">
        <v>8</v>
      </c>
      <c r="L825" t="b">
        <v>1</v>
      </c>
      <c r="M825">
        <v>2137394000</v>
      </c>
      <c r="N825" s="2" t="s">
        <v>100</v>
      </c>
      <c r="O825" t="b">
        <v>1</v>
      </c>
      <c r="P825">
        <v>4769703</v>
      </c>
      <c r="Q825">
        <v>85.960763534790999</v>
      </c>
      <c r="R825" s="2" t="s">
        <v>100</v>
      </c>
      <c r="S825">
        <v>83.544303797468302</v>
      </c>
      <c r="T825">
        <v>1.02</v>
      </c>
      <c r="U825" s="2" t="s">
        <v>100</v>
      </c>
      <c r="V825" t="b">
        <v>1</v>
      </c>
      <c r="W825" t="b">
        <v>1</v>
      </c>
      <c r="X825">
        <v>0</v>
      </c>
    </row>
    <row r="826" spans="3:24" x14ac:dyDescent="0.35">
      <c r="C826" s="2" t="s">
        <v>73</v>
      </c>
      <c r="D826" s="3">
        <v>42735</v>
      </c>
      <c r="E826">
        <v>87.287152984827301</v>
      </c>
      <c r="F826">
        <v>94.495616598480396</v>
      </c>
      <c r="G826">
        <v>83.206068449813102</v>
      </c>
      <c r="H826">
        <v>89.186063693865705</v>
      </c>
      <c r="I826">
        <v>35007000</v>
      </c>
      <c r="J826">
        <v>75</v>
      </c>
      <c r="K826">
        <v>8</v>
      </c>
      <c r="L826" t="b">
        <v>1</v>
      </c>
      <c r="M826">
        <v>2025482000</v>
      </c>
      <c r="N826" s="2" t="s">
        <v>100</v>
      </c>
      <c r="O826" t="b">
        <v>1</v>
      </c>
      <c r="P826">
        <v>5661522</v>
      </c>
      <c r="Q826">
        <v>86.761782529177495</v>
      </c>
      <c r="R826" s="2" t="s">
        <v>100</v>
      </c>
      <c r="S826">
        <v>80</v>
      </c>
      <c r="T826">
        <v>1.4</v>
      </c>
      <c r="U826" s="2" t="s">
        <v>100</v>
      </c>
      <c r="V826" t="b">
        <v>1</v>
      </c>
      <c r="W826" t="b">
        <v>1</v>
      </c>
      <c r="X826">
        <v>0</v>
      </c>
    </row>
    <row r="827" spans="3:24" x14ac:dyDescent="0.35">
      <c r="C827" s="2" t="s">
        <v>74</v>
      </c>
      <c r="D827" s="3">
        <v>45565</v>
      </c>
      <c r="E827">
        <v>73.322884847516207</v>
      </c>
      <c r="F827">
        <v>78.077392010318803</v>
      </c>
      <c r="G827">
        <v>72.363768997755898</v>
      </c>
      <c r="H827">
        <v>75.138368639999598</v>
      </c>
      <c r="I827">
        <v>212288</v>
      </c>
      <c r="J827">
        <v>68.75</v>
      </c>
      <c r="K827">
        <v>14</v>
      </c>
      <c r="L827" t="b">
        <v>1</v>
      </c>
      <c r="M827" s="2" t="s">
        <v>100</v>
      </c>
      <c r="N827" s="2" t="s">
        <v>100</v>
      </c>
      <c r="O827" t="b">
        <v>1</v>
      </c>
      <c r="P827" s="2" t="s">
        <v>100</v>
      </c>
      <c r="Q827">
        <v>70.2374273937494</v>
      </c>
      <c r="R827" t="b">
        <v>0</v>
      </c>
      <c r="S827">
        <v>81.818181818181799</v>
      </c>
      <c r="T827" s="2" t="s">
        <v>100</v>
      </c>
      <c r="U827" s="2" t="s">
        <v>100</v>
      </c>
      <c r="V827" t="b">
        <v>1</v>
      </c>
      <c r="W827" t="b">
        <v>1</v>
      </c>
      <c r="X827">
        <v>52.286585365853597</v>
      </c>
    </row>
    <row r="828" spans="3:24" x14ac:dyDescent="0.35">
      <c r="C828" s="2" t="s">
        <v>74</v>
      </c>
      <c r="D828" s="3">
        <v>45199</v>
      </c>
      <c r="E828">
        <v>73.608420583306298</v>
      </c>
      <c r="F828">
        <v>86.739919888580602</v>
      </c>
      <c r="G828">
        <v>62.873696825525499</v>
      </c>
      <c r="H828">
        <v>76.244457406874105</v>
      </c>
      <c r="I828">
        <v>185690</v>
      </c>
      <c r="J828">
        <v>69.230769230769198</v>
      </c>
      <c r="K828">
        <v>13</v>
      </c>
      <c r="L828" t="b">
        <v>1</v>
      </c>
      <c r="M828" s="2" t="s">
        <v>100</v>
      </c>
      <c r="N828" s="2" t="s">
        <v>100</v>
      </c>
      <c r="O828" t="b">
        <v>1</v>
      </c>
      <c r="P828" s="2" t="s">
        <v>100</v>
      </c>
      <c r="Q828">
        <v>71.154811864450707</v>
      </c>
      <c r="R828" t="b">
        <v>0</v>
      </c>
      <c r="S828">
        <v>82.211538461538396</v>
      </c>
      <c r="T828">
        <v>1.98</v>
      </c>
      <c r="U828">
        <v>80</v>
      </c>
      <c r="V828" t="b">
        <v>1</v>
      </c>
      <c r="W828" t="b">
        <v>1</v>
      </c>
      <c r="X828">
        <v>53.374233128834298</v>
      </c>
    </row>
    <row r="829" spans="3:24" x14ac:dyDescent="0.35">
      <c r="C829" s="2" t="s">
        <v>74</v>
      </c>
      <c r="D829" s="3">
        <v>44834</v>
      </c>
      <c r="E829">
        <v>72.682308262695898</v>
      </c>
      <c r="F829">
        <v>86.431182285723295</v>
      </c>
      <c r="G829">
        <v>65.391735485485398</v>
      </c>
      <c r="H829">
        <v>76.603701867793106</v>
      </c>
      <c r="I829">
        <v>184792</v>
      </c>
      <c r="J829">
        <v>64.285714285714207</v>
      </c>
      <c r="K829">
        <v>12</v>
      </c>
      <c r="L829" t="b">
        <v>1</v>
      </c>
      <c r="M829" s="2" t="s">
        <v>100</v>
      </c>
      <c r="N829" s="2" t="s">
        <v>100</v>
      </c>
      <c r="O829" t="b">
        <v>1</v>
      </c>
      <c r="P829" s="2" t="s">
        <v>100</v>
      </c>
      <c r="Q829">
        <v>73.521960578472303</v>
      </c>
      <c r="R829" t="b">
        <v>0</v>
      </c>
      <c r="S829">
        <v>83.221476510067106</v>
      </c>
      <c r="T829">
        <v>2.27</v>
      </c>
      <c r="U829">
        <v>80</v>
      </c>
      <c r="V829" t="b">
        <v>1</v>
      </c>
      <c r="W829" t="b">
        <v>1</v>
      </c>
      <c r="X829">
        <v>55.140186915887803</v>
      </c>
    </row>
    <row r="830" spans="3:24" x14ac:dyDescent="0.35">
      <c r="C830" s="2" t="s">
        <v>74</v>
      </c>
      <c r="D830" s="3">
        <v>44469</v>
      </c>
      <c r="E830">
        <v>67.178926425337806</v>
      </c>
      <c r="F830">
        <v>83.498838609949701</v>
      </c>
      <c r="G830">
        <v>66.458771835246694</v>
      </c>
      <c r="H830">
        <v>74.167077509698601</v>
      </c>
      <c r="I830">
        <v>126914</v>
      </c>
      <c r="J830">
        <v>58.3333333333333</v>
      </c>
      <c r="K830">
        <v>11</v>
      </c>
      <c r="L830" t="b">
        <v>1</v>
      </c>
      <c r="M830" s="2" t="s">
        <v>100</v>
      </c>
      <c r="N830" s="2" t="s">
        <v>100</v>
      </c>
      <c r="O830" t="b">
        <v>1</v>
      </c>
      <c r="P830" s="2" t="s">
        <v>100</v>
      </c>
      <c r="Q830">
        <v>75.621147307915805</v>
      </c>
      <c r="R830" t="b">
        <v>0</v>
      </c>
      <c r="S830">
        <v>85.192307692307594</v>
      </c>
      <c r="T830">
        <v>2.33</v>
      </c>
      <c r="U830" s="2" t="s">
        <v>100</v>
      </c>
      <c r="V830" t="b">
        <v>1</v>
      </c>
      <c r="W830" t="b">
        <v>1</v>
      </c>
      <c r="X830">
        <v>56.643356643356597</v>
      </c>
    </row>
    <row r="831" spans="3:24" x14ac:dyDescent="0.35">
      <c r="C831" s="2" t="s">
        <v>74</v>
      </c>
      <c r="D831" s="3">
        <v>44104</v>
      </c>
      <c r="E831">
        <v>71.807981976839102</v>
      </c>
      <c r="F831">
        <v>87.786485998074696</v>
      </c>
      <c r="G831">
        <v>76.588522588522494</v>
      </c>
      <c r="H831">
        <v>80.263363342585194</v>
      </c>
      <c r="I831">
        <v>145750</v>
      </c>
      <c r="J831">
        <v>58.3333333333333</v>
      </c>
      <c r="K831">
        <v>12</v>
      </c>
      <c r="L831" t="b">
        <v>1</v>
      </c>
      <c r="M831" s="2" t="s">
        <v>100</v>
      </c>
      <c r="N831" s="2" t="s">
        <v>100</v>
      </c>
      <c r="O831" t="b">
        <v>1</v>
      </c>
      <c r="P831" s="2" t="s">
        <v>100</v>
      </c>
      <c r="Q831">
        <v>78.200069035947806</v>
      </c>
      <c r="R831" t="b">
        <v>0</v>
      </c>
      <c r="S831">
        <v>86.283185840707901</v>
      </c>
      <c r="T831">
        <v>2.5499999999999998</v>
      </c>
      <c r="U831">
        <v>82</v>
      </c>
      <c r="V831" t="b">
        <v>1</v>
      </c>
      <c r="W831" t="b">
        <v>1</v>
      </c>
      <c r="X831">
        <v>59.003831417624497</v>
      </c>
    </row>
    <row r="832" spans="3:24" x14ac:dyDescent="0.35">
      <c r="C832" s="2" t="s">
        <v>74</v>
      </c>
      <c r="D832" s="3">
        <v>43738</v>
      </c>
      <c r="E832">
        <v>57.0242393771805</v>
      </c>
      <c r="F832">
        <v>89.616223743949604</v>
      </c>
      <c r="G832">
        <v>78.541543969051304</v>
      </c>
      <c r="H832">
        <v>77.731675007187604</v>
      </c>
      <c r="I832">
        <v>220502</v>
      </c>
      <c r="J832">
        <v>58.3333333333333</v>
      </c>
      <c r="K832">
        <v>11</v>
      </c>
      <c r="L832" t="b">
        <v>0</v>
      </c>
      <c r="M832" s="2" t="s">
        <v>100</v>
      </c>
      <c r="N832" s="2" t="s">
        <v>100</v>
      </c>
      <c r="O832" t="b">
        <v>1</v>
      </c>
      <c r="P832" s="2" t="s">
        <v>100</v>
      </c>
      <c r="Q832">
        <v>80.269779293880703</v>
      </c>
      <c r="R832" t="b">
        <v>0</v>
      </c>
      <c r="S832">
        <v>97.196261682242906</v>
      </c>
      <c r="T832">
        <v>2.91</v>
      </c>
      <c r="U832" s="2" t="s">
        <v>100</v>
      </c>
      <c r="V832" t="b">
        <v>1</v>
      </c>
      <c r="W832" t="b">
        <v>1</v>
      </c>
      <c r="X832">
        <v>56.837606837606799</v>
      </c>
    </row>
    <row r="833" spans="3:24" x14ac:dyDescent="0.35">
      <c r="C833" s="2" t="s">
        <v>74</v>
      </c>
      <c r="D833" s="3">
        <v>43373</v>
      </c>
      <c r="E833">
        <v>48.965706447187898</v>
      </c>
      <c r="F833">
        <v>85.743053389613095</v>
      </c>
      <c r="G833">
        <v>75.9323899192064</v>
      </c>
      <c r="H833">
        <v>73.122384060616199</v>
      </c>
      <c r="I833">
        <v>137611</v>
      </c>
      <c r="J833">
        <v>61.538461538461497</v>
      </c>
      <c r="K833">
        <v>11</v>
      </c>
      <c r="L833" t="b">
        <v>0</v>
      </c>
      <c r="M833" s="2" t="s">
        <v>100</v>
      </c>
      <c r="N833" s="2" t="s">
        <v>100</v>
      </c>
      <c r="O833" t="b">
        <v>1</v>
      </c>
      <c r="P833" s="2" t="s">
        <v>100</v>
      </c>
      <c r="Q833">
        <v>82.220517481419506</v>
      </c>
      <c r="R833" s="2" t="s">
        <v>100</v>
      </c>
      <c r="S833">
        <v>97.058823529411697</v>
      </c>
      <c r="T833">
        <v>3.04</v>
      </c>
      <c r="U833" s="2" t="s">
        <v>100</v>
      </c>
      <c r="V833" t="b">
        <v>1</v>
      </c>
      <c r="W833" t="b">
        <v>1</v>
      </c>
      <c r="X833">
        <v>58.292682926829201</v>
      </c>
    </row>
    <row r="834" spans="3:24" x14ac:dyDescent="0.35">
      <c r="C834" s="2" t="s">
        <v>74</v>
      </c>
      <c r="D834" s="3">
        <v>43008</v>
      </c>
      <c r="E834">
        <v>53.520646170579397</v>
      </c>
      <c r="F834">
        <v>86.990985914062804</v>
      </c>
      <c r="G834">
        <v>72.223906785404694</v>
      </c>
      <c r="H834">
        <v>73.787931532358897</v>
      </c>
      <c r="I834">
        <v>136530</v>
      </c>
      <c r="J834">
        <v>58.3333333333333</v>
      </c>
      <c r="K834">
        <v>11</v>
      </c>
      <c r="L834" t="b">
        <v>0</v>
      </c>
      <c r="M834" s="2" t="s">
        <v>100</v>
      </c>
      <c r="N834" s="2" t="s">
        <v>100</v>
      </c>
      <c r="O834" t="b">
        <v>1</v>
      </c>
      <c r="P834" s="2" t="s">
        <v>100</v>
      </c>
      <c r="Q834">
        <v>85.960763534790999</v>
      </c>
      <c r="R834" s="2" t="s">
        <v>100</v>
      </c>
      <c r="S834">
        <v>95.857988165680396</v>
      </c>
      <c r="T834">
        <v>4.9800000000000004</v>
      </c>
      <c r="U834" s="2" t="s">
        <v>100</v>
      </c>
      <c r="V834" t="b">
        <v>1</v>
      </c>
      <c r="W834" t="b">
        <v>1</v>
      </c>
      <c r="X834">
        <v>58.108108108108098</v>
      </c>
    </row>
    <row r="835" spans="3:24" x14ac:dyDescent="0.35">
      <c r="C835" s="2" t="s">
        <v>74</v>
      </c>
      <c r="D835" s="3">
        <v>42643</v>
      </c>
      <c r="E835">
        <v>59.489938656605297</v>
      </c>
      <c r="F835">
        <v>87.122222222222206</v>
      </c>
      <c r="G835">
        <v>47.7867472539603</v>
      </c>
      <c r="H835">
        <v>68.238536875952406</v>
      </c>
      <c r="I835">
        <v>133588</v>
      </c>
      <c r="J835">
        <v>57.142857142857103</v>
      </c>
      <c r="K835">
        <v>12</v>
      </c>
      <c r="L835" t="b">
        <v>0</v>
      </c>
      <c r="M835" s="2" t="s">
        <v>100</v>
      </c>
      <c r="N835" s="2" t="s">
        <v>100</v>
      </c>
      <c r="O835" t="b">
        <v>1</v>
      </c>
      <c r="P835" s="2" t="s">
        <v>100</v>
      </c>
      <c r="Q835">
        <v>86.761782529177495</v>
      </c>
      <c r="R835" s="2" t="s">
        <v>100</v>
      </c>
      <c r="S835">
        <v>95.9375</v>
      </c>
      <c r="T835">
        <v>4.37</v>
      </c>
      <c r="U835">
        <v>75</v>
      </c>
      <c r="V835" t="b">
        <v>1</v>
      </c>
      <c r="W835" t="b">
        <v>1</v>
      </c>
      <c r="X835">
        <v>59.428571428571402</v>
      </c>
    </row>
    <row r="836" spans="3:24" x14ac:dyDescent="0.35">
      <c r="C836" s="2" t="s">
        <v>74</v>
      </c>
      <c r="D836" s="3">
        <v>42277</v>
      </c>
      <c r="E836">
        <v>62.694089698824897</v>
      </c>
      <c r="F836">
        <v>85.486499532386006</v>
      </c>
      <c r="G836">
        <v>55.739724621249202</v>
      </c>
      <c r="H836">
        <v>70.704163131991294</v>
      </c>
      <c r="I836">
        <v>118772</v>
      </c>
      <c r="J836">
        <v>58.3333333333333</v>
      </c>
      <c r="K836">
        <v>12</v>
      </c>
      <c r="L836" t="b">
        <v>0</v>
      </c>
      <c r="M836" s="2" t="s">
        <v>100</v>
      </c>
      <c r="N836" s="2" t="s">
        <v>100</v>
      </c>
      <c r="O836" t="b">
        <v>1</v>
      </c>
      <c r="P836" s="2" t="s">
        <v>100</v>
      </c>
      <c r="Q836">
        <v>87.208323109393802</v>
      </c>
      <c r="R836" s="2" t="s">
        <v>100</v>
      </c>
      <c r="S836">
        <v>96.062992125984195</v>
      </c>
      <c r="T836">
        <v>4.3600000000000003</v>
      </c>
      <c r="U836" s="2" t="s">
        <v>100</v>
      </c>
      <c r="V836" t="b">
        <v>1</v>
      </c>
      <c r="W836" t="b">
        <v>1</v>
      </c>
      <c r="X836">
        <v>64.189189189189094</v>
      </c>
    </row>
    <row r="837" spans="3:24" x14ac:dyDescent="0.35">
      <c r="C837" s="2" t="s">
        <v>75</v>
      </c>
      <c r="D837" s="3">
        <v>45657</v>
      </c>
      <c r="E837">
        <v>58.684229324286797</v>
      </c>
      <c r="F837">
        <v>90.170972899105706</v>
      </c>
      <c r="G837">
        <v>45.8333333333333</v>
      </c>
      <c r="H837">
        <v>68.795764433485303</v>
      </c>
      <c r="I837">
        <v>31229</v>
      </c>
      <c r="J837">
        <v>58.3333333333333</v>
      </c>
      <c r="K837">
        <v>11</v>
      </c>
      <c r="L837" t="b">
        <v>1</v>
      </c>
      <c r="M837" s="2" t="s">
        <v>100</v>
      </c>
      <c r="N837" s="2" t="s">
        <v>100</v>
      </c>
      <c r="O837" t="b">
        <v>1</v>
      </c>
      <c r="P837">
        <v>502479.6</v>
      </c>
      <c r="Q837">
        <v>70.2374273937494</v>
      </c>
      <c r="R837" t="b">
        <v>0</v>
      </c>
      <c r="S837">
        <v>92.319749216300906</v>
      </c>
      <c r="T837" s="2" t="s">
        <v>100</v>
      </c>
      <c r="U837">
        <v>77</v>
      </c>
      <c r="V837" t="b">
        <v>1</v>
      </c>
      <c r="W837" t="b">
        <v>1</v>
      </c>
      <c r="X837">
        <v>52.286585365853597</v>
      </c>
    </row>
    <row r="838" spans="3:24" x14ac:dyDescent="0.35">
      <c r="C838" s="2" t="s">
        <v>75</v>
      </c>
      <c r="D838" s="3">
        <v>45291</v>
      </c>
      <c r="E838">
        <v>59.141452577525499</v>
      </c>
      <c r="F838">
        <v>90.173143107079895</v>
      </c>
      <c r="G838">
        <v>83.3333333333333</v>
      </c>
      <c r="H838">
        <v>79.9471633275665</v>
      </c>
      <c r="I838">
        <v>31317</v>
      </c>
      <c r="J838">
        <v>66.6666666666666</v>
      </c>
      <c r="K838">
        <v>8</v>
      </c>
      <c r="L838" t="b">
        <v>1</v>
      </c>
      <c r="M838" s="2" t="s">
        <v>100</v>
      </c>
      <c r="N838" s="2" t="s">
        <v>100</v>
      </c>
      <c r="O838" t="b">
        <v>1</v>
      </c>
      <c r="P838">
        <v>384566</v>
      </c>
      <c r="Q838">
        <v>71.154811864450707</v>
      </c>
      <c r="R838" t="b">
        <v>0</v>
      </c>
      <c r="S838">
        <v>92.788461538461505</v>
      </c>
      <c r="T838" s="2" t="s">
        <v>100</v>
      </c>
      <c r="U838">
        <v>83</v>
      </c>
      <c r="V838" t="b">
        <v>1</v>
      </c>
      <c r="W838" t="b">
        <v>1</v>
      </c>
      <c r="X838">
        <v>53.374233128834298</v>
      </c>
    </row>
    <row r="839" spans="3:24" x14ac:dyDescent="0.35">
      <c r="C839" s="2" t="s">
        <v>75</v>
      </c>
      <c r="D839" s="3">
        <v>44926</v>
      </c>
      <c r="E839">
        <v>72.153338459566697</v>
      </c>
      <c r="F839">
        <v>93.346953981649193</v>
      </c>
      <c r="G839">
        <v>86.3333333333333</v>
      </c>
      <c r="H839">
        <v>85.674049682181504</v>
      </c>
      <c r="I839">
        <v>31259</v>
      </c>
      <c r="J839">
        <v>66.6666666666666</v>
      </c>
      <c r="K839">
        <v>11</v>
      </c>
      <c r="L839" t="b">
        <v>1</v>
      </c>
      <c r="M839">
        <v>4624</v>
      </c>
      <c r="N839" s="2" t="s">
        <v>100</v>
      </c>
      <c r="O839" t="b">
        <v>1</v>
      </c>
      <c r="P839">
        <v>234414</v>
      </c>
      <c r="Q839">
        <v>73.521960578472303</v>
      </c>
      <c r="R839" t="b">
        <v>0</v>
      </c>
      <c r="S839">
        <v>93.120805369127496</v>
      </c>
      <c r="T839" s="2" t="s">
        <v>100</v>
      </c>
      <c r="U839">
        <v>74</v>
      </c>
      <c r="V839" t="b">
        <v>1</v>
      </c>
      <c r="W839" t="b">
        <v>1</v>
      </c>
      <c r="X839">
        <v>55.140186915887803</v>
      </c>
    </row>
    <row r="840" spans="3:24" x14ac:dyDescent="0.35">
      <c r="C840" s="2" t="s">
        <v>75</v>
      </c>
      <c r="D840" s="3">
        <v>44561</v>
      </c>
      <c r="E840">
        <v>73.811144405243198</v>
      </c>
      <c r="F840">
        <v>88.025645136756197</v>
      </c>
      <c r="G840">
        <v>85.4444444444444</v>
      </c>
      <c r="H840">
        <v>83.503806504205102</v>
      </c>
      <c r="I840">
        <v>28430</v>
      </c>
      <c r="J840">
        <v>69.230769230769198</v>
      </c>
      <c r="K840">
        <v>11</v>
      </c>
      <c r="L840" t="b">
        <v>1</v>
      </c>
      <c r="M840">
        <v>3858</v>
      </c>
      <c r="N840" s="2" t="s">
        <v>100</v>
      </c>
      <c r="O840" t="b">
        <v>1</v>
      </c>
      <c r="P840">
        <v>268317</v>
      </c>
      <c r="Q840">
        <v>75.621147307915805</v>
      </c>
      <c r="R840" t="b">
        <v>0</v>
      </c>
      <c r="S840">
        <v>91.730769230769198</v>
      </c>
      <c r="T840" s="2" t="s">
        <v>100</v>
      </c>
      <c r="U840">
        <v>78</v>
      </c>
      <c r="V840" t="b">
        <v>1</v>
      </c>
      <c r="W840" t="b">
        <v>1</v>
      </c>
      <c r="X840">
        <v>56.643356643356597</v>
      </c>
    </row>
    <row r="841" spans="3:24" x14ac:dyDescent="0.35">
      <c r="C841" s="2" t="s">
        <v>75</v>
      </c>
      <c r="D841" s="3">
        <v>44196</v>
      </c>
      <c r="E841">
        <v>68.828148041225603</v>
      </c>
      <c r="F841">
        <v>82.889015035096705</v>
      </c>
      <c r="G841">
        <v>88.730158730158706</v>
      </c>
      <c r="H841">
        <v>80.885004270560799</v>
      </c>
      <c r="I841">
        <v>28958</v>
      </c>
      <c r="J841">
        <v>75</v>
      </c>
      <c r="K841">
        <v>10</v>
      </c>
      <c r="L841" t="b">
        <v>1</v>
      </c>
      <c r="M841">
        <v>7527</v>
      </c>
      <c r="N841" s="2" t="s">
        <v>100</v>
      </c>
      <c r="O841" t="b">
        <v>1</v>
      </c>
      <c r="P841" s="2" t="s">
        <v>100</v>
      </c>
      <c r="Q841">
        <v>78.200069035947806</v>
      </c>
      <c r="R841" t="b">
        <v>0</v>
      </c>
      <c r="S841">
        <v>79.424778761061901</v>
      </c>
      <c r="T841" s="2" t="s">
        <v>100</v>
      </c>
      <c r="U841">
        <v>78</v>
      </c>
      <c r="V841" t="b">
        <v>1</v>
      </c>
      <c r="W841" t="b">
        <v>1</v>
      </c>
      <c r="X841">
        <v>59.003831417624497</v>
      </c>
    </row>
    <row r="842" spans="3:24" x14ac:dyDescent="0.35">
      <c r="C842" s="2" t="s">
        <v>75</v>
      </c>
      <c r="D842" s="3">
        <v>43830</v>
      </c>
      <c r="E842">
        <v>50.572847631671102</v>
      </c>
      <c r="F842">
        <v>69.741721875678195</v>
      </c>
      <c r="G842">
        <v>84.4444444444444</v>
      </c>
      <c r="H842">
        <v>68.991938272489904</v>
      </c>
      <c r="I842">
        <v>41353</v>
      </c>
      <c r="J842">
        <v>70</v>
      </c>
      <c r="K842">
        <v>9</v>
      </c>
      <c r="L842" t="b">
        <v>0</v>
      </c>
      <c r="M842">
        <v>6115</v>
      </c>
      <c r="N842" s="2" t="s">
        <v>100</v>
      </c>
      <c r="O842" t="b">
        <v>1</v>
      </c>
      <c r="P842" s="2" t="s">
        <v>100</v>
      </c>
      <c r="Q842">
        <v>80.269779293880703</v>
      </c>
      <c r="R842" s="2" t="s">
        <v>100</v>
      </c>
      <c r="S842">
        <v>58.644859813084103</v>
      </c>
      <c r="T842" s="2" t="s">
        <v>100</v>
      </c>
      <c r="U842">
        <v>74</v>
      </c>
      <c r="V842" t="b">
        <v>1</v>
      </c>
      <c r="W842" t="b">
        <v>1</v>
      </c>
      <c r="X842">
        <v>56.837606837606799</v>
      </c>
    </row>
    <row r="843" spans="3:24" x14ac:dyDescent="0.35">
      <c r="C843" s="2" t="s">
        <v>75</v>
      </c>
      <c r="D843" s="3">
        <v>43465</v>
      </c>
      <c r="E843">
        <v>43.494714758331298</v>
      </c>
      <c r="F843">
        <v>67.722750554638694</v>
      </c>
      <c r="G843">
        <v>71.6666666666666</v>
      </c>
      <c r="H843">
        <v>62.469422288565497</v>
      </c>
      <c r="I843">
        <v>46572</v>
      </c>
      <c r="J843">
        <v>66.6666666666666</v>
      </c>
      <c r="K843">
        <v>8</v>
      </c>
      <c r="L843" t="b">
        <v>0</v>
      </c>
      <c r="M843">
        <v>13811</v>
      </c>
      <c r="N843" s="2" t="s">
        <v>100</v>
      </c>
      <c r="O843" t="b">
        <v>1</v>
      </c>
      <c r="P843" s="2" t="s">
        <v>100</v>
      </c>
      <c r="Q843">
        <v>82.220517481419506</v>
      </c>
      <c r="R843" s="2" t="s">
        <v>100</v>
      </c>
      <c r="S843">
        <v>41.978609625668398</v>
      </c>
      <c r="T843" s="2" t="s">
        <v>100</v>
      </c>
      <c r="U843">
        <v>53</v>
      </c>
      <c r="V843" t="b">
        <v>1</v>
      </c>
      <c r="W843" t="b">
        <v>1</v>
      </c>
      <c r="X843">
        <v>58.292682926829201</v>
      </c>
    </row>
    <row r="844" spans="3:24" x14ac:dyDescent="0.35">
      <c r="C844" s="2" t="s">
        <v>75</v>
      </c>
      <c r="D844" s="3">
        <v>43100</v>
      </c>
      <c r="E844">
        <v>43.442373294346901</v>
      </c>
      <c r="F844">
        <v>54.437082898621298</v>
      </c>
      <c r="G844">
        <v>70.1111111111111</v>
      </c>
      <c r="H844">
        <v>56.136726889398602</v>
      </c>
      <c r="I844">
        <v>64628</v>
      </c>
      <c r="J844">
        <v>60</v>
      </c>
      <c r="K844">
        <v>9</v>
      </c>
      <c r="L844" t="b">
        <v>0</v>
      </c>
      <c r="M844">
        <v>8587</v>
      </c>
      <c r="N844" s="2" t="s">
        <v>100</v>
      </c>
      <c r="O844" t="b">
        <v>1</v>
      </c>
      <c r="P844" s="2" t="s">
        <v>100</v>
      </c>
      <c r="Q844">
        <v>85.960763534790999</v>
      </c>
      <c r="R844" s="2" t="s">
        <v>100</v>
      </c>
      <c r="S844">
        <v>44.082840236686302</v>
      </c>
      <c r="T844" s="2" t="s">
        <v>100</v>
      </c>
      <c r="U844">
        <v>57</v>
      </c>
      <c r="V844" t="b">
        <v>1</v>
      </c>
      <c r="W844" t="b">
        <v>1</v>
      </c>
      <c r="X844">
        <v>58.108108108108098</v>
      </c>
    </row>
    <row r="845" spans="3:24" x14ac:dyDescent="0.35">
      <c r="C845" s="2" t="s">
        <v>75</v>
      </c>
      <c r="D845" s="3">
        <v>42735</v>
      </c>
      <c r="E845">
        <v>29.0457123790457</v>
      </c>
      <c r="F845">
        <v>22.155303030302999</v>
      </c>
      <c r="G845">
        <v>78</v>
      </c>
      <c r="H845">
        <v>40.4041457901751</v>
      </c>
      <c r="I845">
        <v>80589</v>
      </c>
      <c r="J845">
        <v>57.142857142857103</v>
      </c>
      <c r="K845">
        <v>7</v>
      </c>
      <c r="L845" t="b">
        <v>0</v>
      </c>
      <c r="M845">
        <v>161152</v>
      </c>
      <c r="N845" s="2" t="s">
        <v>100</v>
      </c>
      <c r="O845" t="b">
        <v>0</v>
      </c>
      <c r="P845" s="2" t="s">
        <v>100</v>
      </c>
      <c r="Q845">
        <v>18.497865737530599</v>
      </c>
      <c r="R845" s="2" t="s">
        <v>100</v>
      </c>
      <c r="S845">
        <v>21.25</v>
      </c>
      <c r="T845" s="2" t="s">
        <v>100</v>
      </c>
      <c r="U845" s="2" t="s">
        <v>100</v>
      </c>
      <c r="V845" t="b">
        <v>0</v>
      </c>
      <c r="W845" t="b">
        <v>1</v>
      </c>
      <c r="X845">
        <v>59.428571428571402</v>
      </c>
    </row>
    <row r="846" spans="3:24" x14ac:dyDescent="0.35">
      <c r="C846" s="2" t="s">
        <v>75</v>
      </c>
      <c r="D846" s="3">
        <v>42369</v>
      </c>
      <c r="E846">
        <v>0</v>
      </c>
      <c r="F846">
        <v>2.43703703703703</v>
      </c>
      <c r="G846">
        <v>16.6666666666666</v>
      </c>
      <c r="H846">
        <v>5.9771241830065298</v>
      </c>
      <c r="I846" s="2" t="s">
        <v>100</v>
      </c>
      <c r="J846">
        <v>50</v>
      </c>
      <c r="K846">
        <v>4</v>
      </c>
      <c r="L846" t="b">
        <v>0</v>
      </c>
      <c r="M846" s="2" t="s">
        <v>100</v>
      </c>
      <c r="N846" s="2" t="s">
        <v>100</v>
      </c>
      <c r="O846" t="b">
        <v>0</v>
      </c>
      <c r="P846" s="2" t="s">
        <v>100</v>
      </c>
      <c r="Q846">
        <v>18.9460637435099</v>
      </c>
      <c r="R846" s="2" t="s">
        <v>100</v>
      </c>
      <c r="S846">
        <v>0</v>
      </c>
      <c r="T846" s="2" t="s">
        <v>100</v>
      </c>
      <c r="U846" s="2" t="s">
        <v>100</v>
      </c>
      <c r="V846" t="b">
        <v>0</v>
      </c>
      <c r="W846" t="b">
        <v>1</v>
      </c>
      <c r="X846">
        <v>0</v>
      </c>
    </row>
    <row r="847" spans="3:24" x14ac:dyDescent="0.35">
      <c r="C847" s="2" t="s">
        <v>76</v>
      </c>
      <c r="D847" s="3">
        <v>45657</v>
      </c>
      <c r="E847">
        <v>66.979715623032106</v>
      </c>
      <c r="F847">
        <v>37.385546780949802</v>
      </c>
      <c r="G847">
        <v>65.745271415206105</v>
      </c>
      <c r="H847">
        <v>52.6753258135967</v>
      </c>
      <c r="I847">
        <v>2568</v>
      </c>
      <c r="J847">
        <v>72.727272727272705</v>
      </c>
      <c r="K847">
        <v>11</v>
      </c>
      <c r="L847" t="b">
        <v>1</v>
      </c>
      <c r="M847" s="2" t="s">
        <v>100</v>
      </c>
      <c r="N847" s="2" t="s">
        <v>100</v>
      </c>
      <c r="O847" t="b">
        <v>1</v>
      </c>
      <c r="P847" s="2" t="s">
        <v>100</v>
      </c>
      <c r="Q847">
        <v>70.2374273937494</v>
      </c>
      <c r="R847" t="b">
        <v>0</v>
      </c>
      <c r="S847">
        <v>31.395348837209301</v>
      </c>
      <c r="T847" s="2" t="s">
        <v>100</v>
      </c>
      <c r="U847" s="2" t="s">
        <v>100</v>
      </c>
      <c r="V847" t="b">
        <v>1</v>
      </c>
      <c r="W847" t="b">
        <v>1</v>
      </c>
      <c r="X847">
        <v>50.980392156862699</v>
      </c>
    </row>
    <row r="848" spans="3:24" x14ac:dyDescent="0.35">
      <c r="C848" s="2" t="s">
        <v>76</v>
      </c>
      <c r="D848" s="3">
        <v>45291</v>
      </c>
      <c r="E848">
        <v>71.292872281093096</v>
      </c>
      <c r="F848">
        <v>34.9988874616324</v>
      </c>
      <c r="G848">
        <v>73.053190243199097</v>
      </c>
      <c r="H848">
        <v>55.059806550187297</v>
      </c>
      <c r="I848">
        <v>3455</v>
      </c>
      <c r="J848">
        <v>76.923076923076906</v>
      </c>
      <c r="K848">
        <v>11</v>
      </c>
      <c r="L848" t="b">
        <v>1</v>
      </c>
      <c r="M848" s="2" t="s">
        <v>100</v>
      </c>
      <c r="N848" s="2" t="s">
        <v>100</v>
      </c>
      <c r="O848" t="b">
        <v>1</v>
      </c>
      <c r="P848" s="2" t="s">
        <v>100</v>
      </c>
      <c r="Q848">
        <v>71.154811864450707</v>
      </c>
      <c r="R848" t="b">
        <v>0</v>
      </c>
      <c r="S848">
        <v>33.163265306122398</v>
      </c>
      <c r="T848" s="2" t="s">
        <v>100</v>
      </c>
      <c r="U848" s="2" t="s">
        <v>100</v>
      </c>
      <c r="V848" t="b">
        <v>1</v>
      </c>
      <c r="W848" t="b">
        <v>1</v>
      </c>
      <c r="X848">
        <v>51.650165016501603</v>
      </c>
    </row>
    <row r="849" spans="3:24" x14ac:dyDescent="0.35">
      <c r="C849" s="2" t="s">
        <v>76</v>
      </c>
      <c r="D849" s="3">
        <v>44926</v>
      </c>
      <c r="E849">
        <v>70.542360774252202</v>
      </c>
      <c r="F849">
        <v>39.650553308881101</v>
      </c>
      <c r="G849">
        <v>78.337462462462398</v>
      </c>
      <c r="H849">
        <v>59.244224632363199</v>
      </c>
      <c r="I849">
        <v>3047</v>
      </c>
      <c r="J849">
        <v>81.818181818181799</v>
      </c>
      <c r="K849">
        <v>11</v>
      </c>
      <c r="L849" t="b">
        <v>1</v>
      </c>
      <c r="M849" s="2" t="s">
        <v>100</v>
      </c>
      <c r="N849" s="2" t="s">
        <v>100</v>
      </c>
      <c r="O849" t="b">
        <v>1</v>
      </c>
      <c r="P849">
        <v>900000</v>
      </c>
      <c r="Q849">
        <v>73.521960578472303</v>
      </c>
      <c r="R849" t="b">
        <v>0</v>
      </c>
      <c r="S849">
        <v>32.8231292517006</v>
      </c>
      <c r="T849" s="2" t="s">
        <v>100</v>
      </c>
      <c r="U849" s="2" t="s">
        <v>100</v>
      </c>
      <c r="V849" t="b">
        <v>1</v>
      </c>
      <c r="W849" t="b">
        <v>1</v>
      </c>
      <c r="X849">
        <v>52.741935483870897</v>
      </c>
    </row>
    <row r="850" spans="3:24" x14ac:dyDescent="0.35">
      <c r="C850" s="2" t="s">
        <v>76</v>
      </c>
      <c r="D850" s="3">
        <v>44561</v>
      </c>
      <c r="E850">
        <v>42.814501098008797</v>
      </c>
      <c r="F850">
        <v>42.656341310759998</v>
      </c>
      <c r="G850">
        <v>77.676732873619201</v>
      </c>
      <c r="H850">
        <v>56.685585907536897</v>
      </c>
      <c r="I850">
        <v>3854</v>
      </c>
      <c r="J850">
        <v>84.615384615384599</v>
      </c>
      <c r="K850">
        <v>12</v>
      </c>
      <c r="L850" t="b">
        <v>1</v>
      </c>
      <c r="M850" s="2" t="s">
        <v>100</v>
      </c>
      <c r="N850" s="2" t="s">
        <v>100</v>
      </c>
      <c r="O850" t="b">
        <v>1</v>
      </c>
      <c r="P850" s="2" t="s">
        <v>100</v>
      </c>
      <c r="Q850">
        <v>75.621147307915805</v>
      </c>
      <c r="R850" t="b">
        <v>0</v>
      </c>
      <c r="S850">
        <v>33.3333333333333</v>
      </c>
      <c r="T850" s="2" t="s">
        <v>100</v>
      </c>
      <c r="U850" s="2" t="s">
        <v>100</v>
      </c>
      <c r="V850" t="b">
        <v>1</v>
      </c>
      <c r="W850" t="b">
        <v>1</v>
      </c>
      <c r="X850">
        <v>54.266211604095503</v>
      </c>
    </row>
    <row r="851" spans="3:24" x14ac:dyDescent="0.35">
      <c r="C851" s="2" t="s">
        <v>76</v>
      </c>
      <c r="D851" s="3">
        <v>44196</v>
      </c>
      <c r="E851">
        <v>29.118732851085099</v>
      </c>
      <c r="F851">
        <v>49.972227642729699</v>
      </c>
      <c r="G851">
        <v>83.7212047212047</v>
      </c>
      <c r="H851">
        <v>60.691352501900496</v>
      </c>
      <c r="I851">
        <v>4907</v>
      </c>
      <c r="J851">
        <v>75</v>
      </c>
      <c r="K851">
        <v>12</v>
      </c>
      <c r="L851" t="b">
        <v>1</v>
      </c>
      <c r="M851" s="2" t="s">
        <v>100</v>
      </c>
      <c r="N851" s="2" t="s">
        <v>100</v>
      </c>
      <c r="O851" t="b">
        <v>1</v>
      </c>
      <c r="P851" s="2" t="s">
        <v>100</v>
      </c>
      <c r="Q851">
        <v>78.200069035947806</v>
      </c>
      <c r="R851" t="b">
        <v>0</v>
      </c>
      <c r="S851">
        <v>68.855932203389798</v>
      </c>
      <c r="T851" s="2" t="s">
        <v>100</v>
      </c>
      <c r="U851">
        <v>96</v>
      </c>
      <c r="V851" t="b">
        <v>1</v>
      </c>
      <c r="W851" t="b">
        <v>1</v>
      </c>
      <c r="X851">
        <v>54.1015625</v>
      </c>
    </row>
    <row r="852" spans="3:24" x14ac:dyDescent="0.35">
      <c r="C852" s="2" t="s">
        <v>76</v>
      </c>
      <c r="D852" s="3">
        <v>43830</v>
      </c>
      <c r="E852">
        <v>39.416824295922602</v>
      </c>
      <c r="F852">
        <v>47.226182932691302</v>
      </c>
      <c r="G852">
        <v>78.6831803221895</v>
      </c>
      <c r="H852">
        <v>56.538225873533499</v>
      </c>
      <c r="I852">
        <v>1918</v>
      </c>
      <c r="J852">
        <v>80</v>
      </c>
      <c r="K852">
        <v>10</v>
      </c>
      <c r="L852" t="b">
        <v>1</v>
      </c>
      <c r="M852" s="2" t="s">
        <v>100</v>
      </c>
      <c r="N852" s="2" t="s">
        <v>100</v>
      </c>
      <c r="O852" t="b">
        <v>1</v>
      </c>
      <c r="P852" s="2" t="s">
        <v>100</v>
      </c>
      <c r="Q852">
        <v>80.269779293880703</v>
      </c>
      <c r="R852" s="2" t="s">
        <v>100</v>
      </c>
      <c r="S852">
        <v>87.393162393162299</v>
      </c>
      <c r="T852" s="2" t="s">
        <v>100</v>
      </c>
      <c r="U852">
        <v>83</v>
      </c>
      <c r="V852" t="b">
        <v>1</v>
      </c>
      <c r="W852" t="b">
        <v>1</v>
      </c>
      <c r="X852">
        <v>52.459016393442603</v>
      </c>
    </row>
    <row r="853" spans="3:24" x14ac:dyDescent="0.35">
      <c r="C853" s="2" t="s">
        <v>76</v>
      </c>
      <c r="D853" s="3">
        <v>43465</v>
      </c>
      <c r="E853">
        <v>36.060512514689599</v>
      </c>
      <c r="F853">
        <v>47.067440776380202</v>
      </c>
      <c r="G853">
        <v>87.4023475300841</v>
      </c>
      <c r="H853">
        <v>59.4141783397734</v>
      </c>
      <c r="I853">
        <v>2220</v>
      </c>
      <c r="J853">
        <v>81.818181818181799</v>
      </c>
      <c r="K853">
        <v>10</v>
      </c>
      <c r="L853" t="b">
        <v>1</v>
      </c>
      <c r="M853" s="2" t="s">
        <v>100</v>
      </c>
      <c r="N853" s="2" t="s">
        <v>100</v>
      </c>
      <c r="O853" t="b">
        <v>1</v>
      </c>
      <c r="P853" s="2" t="s">
        <v>100</v>
      </c>
      <c r="Q853">
        <v>82.220517481419506</v>
      </c>
      <c r="R853" s="2" t="s">
        <v>100</v>
      </c>
      <c r="S853">
        <v>89.2344497607655</v>
      </c>
      <c r="T853" s="2" t="s">
        <v>100</v>
      </c>
      <c r="U853">
        <v>84</v>
      </c>
      <c r="V853" t="b">
        <v>1</v>
      </c>
      <c r="W853" t="b">
        <v>1</v>
      </c>
      <c r="X853">
        <v>53.196347031963398</v>
      </c>
    </row>
    <row r="854" spans="3:24" x14ac:dyDescent="0.35">
      <c r="C854" s="2" t="s">
        <v>76</v>
      </c>
      <c r="D854" s="3">
        <v>43100</v>
      </c>
      <c r="E854">
        <v>38.714467078307997</v>
      </c>
      <c r="F854">
        <v>50.946206248531801</v>
      </c>
      <c r="G854">
        <v>87.9530431948764</v>
      </c>
      <c r="H854">
        <v>61.643623866388701</v>
      </c>
      <c r="I854">
        <v>2452.3000000000002</v>
      </c>
      <c r="J854">
        <v>80</v>
      </c>
      <c r="K854">
        <v>8</v>
      </c>
      <c r="L854" t="b">
        <v>1</v>
      </c>
      <c r="M854" s="2" t="s">
        <v>100</v>
      </c>
      <c r="N854" s="2" t="s">
        <v>100</v>
      </c>
      <c r="O854" t="b">
        <v>1</v>
      </c>
      <c r="P854" s="2" t="s">
        <v>100</v>
      </c>
      <c r="Q854">
        <v>85.960763534790999</v>
      </c>
      <c r="R854" s="2" t="s">
        <v>100</v>
      </c>
      <c r="S854">
        <v>80.050505050505095</v>
      </c>
      <c r="T854" s="2" t="s">
        <v>100</v>
      </c>
      <c r="U854">
        <v>80</v>
      </c>
      <c r="V854" t="b">
        <v>1</v>
      </c>
      <c r="W854" t="b">
        <v>1</v>
      </c>
      <c r="X854">
        <v>54.883720930232499</v>
      </c>
    </row>
    <row r="855" spans="3:24" x14ac:dyDescent="0.35">
      <c r="C855" s="2" t="s">
        <v>76</v>
      </c>
      <c r="D855" s="3">
        <v>42735</v>
      </c>
      <c r="E855">
        <v>35.727422003284097</v>
      </c>
      <c r="F855">
        <v>42.6431468123114</v>
      </c>
      <c r="G855">
        <v>87.700640282607495</v>
      </c>
      <c r="H855">
        <v>57.024835736566203</v>
      </c>
      <c r="I855">
        <v>2550</v>
      </c>
      <c r="J855">
        <v>69.230769230769198</v>
      </c>
      <c r="K855">
        <v>10</v>
      </c>
      <c r="L855" t="b">
        <v>1</v>
      </c>
      <c r="M855" s="2" t="s">
        <v>100</v>
      </c>
      <c r="N855" s="2" t="s">
        <v>100</v>
      </c>
      <c r="O855" t="b">
        <v>1</v>
      </c>
      <c r="P855" s="2" t="s">
        <v>100</v>
      </c>
      <c r="Q855">
        <v>86.761782529177495</v>
      </c>
      <c r="R855" s="2" t="s">
        <v>100</v>
      </c>
      <c r="S855">
        <v>76.861702127659498</v>
      </c>
      <c r="T855" s="2" t="s">
        <v>100</v>
      </c>
      <c r="U855">
        <v>83</v>
      </c>
      <c r="V855" t="b">
        <v>1</v>
      </c>
      <c r="W855" t="b">
        <v>1</v>
      </c>
      <c r="X855">
        <v>0</v>
      </c>
    </row>
    <row r="856" spans="3:24" x14ac:dyDescent="0.35">
      <c r="C856" s="2" t="s">
        <v>76</v>
      </c>
      <c r="D856" s="3">
        <v>42369</v>
      </c>
      <c r="E856">
        <v>30.6920210466693</v>
      </c>
      <c r="F856">
        <v>44.153465341056801</v>
      </c>
      <c r="G856">
        <v>80.936320413581399</v>
      </c>
      <c r="H856">
        <v>54.428473277013801</v>
      </c>
      <c r="I856">
        <v>2568</v>
      </c>
      <c r="J856">
        <v>64.285714285714207</v>
      </c>
      <c r="K856">
        <v>12</v>
      </c>
      <c r="L856" t="b">
        <v>1</v>
      </c>
      <c r="M856" s="2" t="s">
        <v>100</v>
      </c>
      <c r="N856" s="2" t="s">
        <v>100</v>
      </c>
      <c r="O856" t="b">
        <v>1</v>
      </c>
      <c r="P856" s="2" t="s">
        <v>100</v>
      </c>
      <c r="Q856">
        <v>87.208323109393802</v>
      </c>
      <c r="R856" s="2" t="s">
        <v>100</v>
      </c>
      <c r="S856">
        <v>75.165562913907195</v>
      </c>
      <c r="T856" s="2" t="s">
        <v>100</v>
      </c>
      <c r="U856">
        <v>82</v>
      </c>
      <c r="V856" t="b">
        <v>1</v>
      </c>
      <c r="W856" t="b">
        <v>1</v>
      </c>
      <c r="X856">
        <v>0</v>
      </c>
    </row>
    <row r="857" spans="3:24" x14ac:dyDescent="0.35">
      <c r="C857" s="2" t="s">
        <v>77</v>
      </c>
      <c r="D857" s="3">
        <v>46022</v>
      </c>
      <c r="E857">
        <v>76.863702754348495</v>
      </c>
      <c r="F857">
        <v>94.267913996931597</v>
      </c>
      <c r="G857">
        <v>93.022280092592496</v>
      </c>
      <c r="H857">
        <v>89.9278623845357</v>
      </c>
      <c r="I857">
        <v>303610</v>
      </c>
      <c r="J857">
        <v>81.25</v>
      </c>
      <c r="K857">
        <v>14</v>
      </c>
      <c r="L857" t="b">
        <v>1</v>
      </c>
      <c r="M857">
        <v>23410</v>
      </c>
      <c r="N857">
        <v>1244</v>
      </c>
      <c r="O857" t="b">
        <v>1</v>
      </c>
      <c r="P857">
        <v>3851089</v>
      </c>
      <c r="Q857">
        <v>69.909916611739803</v>
      </c>
      <c r="R857" t="b">
        <v>0</v>
      </c>
      <c r="S857">
        <v>96.751740139211094</v>
      </c>
      <c r="T857" s="2" t="s">
        <v>100</v>
      </c>
      <c r="U857">
        <v>89</v>
      </c>
      <c r="V857" t="b">
        <v>1</v>
      </c>
      <c r="W857" t="b">
        <v>1</v>
      </c>
      <c r="X857">
        <v>53.644646924829097</v>
      </c>
    </row>
    <row r="858" spans="3:24" x14ac:dyDescent="0.35">
      <c r="C858" s="2" t="s">
        <v>77</v>
      </c>
      <c r="D858" s="3">
        <v>45657</v>
      </c>
      <c r="E858">
        <v>87.363708471662903</v>
      </c>
      <c r="F858">
        <v>95.744158173916304</v>
      </c>
      <c r="G858">
        <v>90.069767479898104</v>
      </c>
      <c r="H858">
        <v>92.082179369061294</v>
      </c>
      <c r="I858">
        <v>342412</v>
      </c>
      <c r="J858">
        <v>76.923076923076906</v>
      </c>
      <c r="K858">
        <v>13</v>
      </c>
      <c r="L858" t="b">
        <v>1</v>
      </c>
      <c r="M858">
        <v>26285</v>
      </c>
      <c r="N858">
        <v>614</v>
      </c>
      <c r="O858" t="b">
        <v>1</v>
      </c>
      <c r="P858">
        <v>4391124</v>
      </c>
      <c r="Q858">
        <v>70.2374273937494</v>
      </c>
      <c r="R858" t="b">
        <v>0</v>
      </c>
      <c r="S858">
        <v>97.031963470319596</v>
      </c>
      <c r="T858" s="2" t="s">
        <v>100</v>
      </c>
      <c r="U858">
        <v>87</v>
      </c>
      <c r="V858" t="b">
        <v>1</v>
      </c>
      <c r="W858" t="b">
        <v>1</v>
      </c>
      <c r="X858">
        <v>53.7078651685393</v>
      </c>
    </row>
    <row r="859" spans="3:24" x14ac:dyDescent="0.35">
      <c r="C859" s="2" t="s">
        <v>77</v>
      </c>
      <c r="D859" s="3">
        <v>45291</v>
      </c>
      <c r="E859">
        <v>89.0734320406427</v>
      </c>
      <c r="F859">
        <v>96.072685344788397</v>
      </c>
      <c r="G859">
        <v>92.968489534055905</v>
      </c>
      <c r="H859">
        <v>93.5207805563563</v>
      </c>
      <c r="I859">
        <v>364230</v>
      </c>
      <c r="J859">
        <v>78.571428571428498</v>
      </c>
      <c r="K859">
        <v>13</v>
      </c>
      <c r="L859" t="b">
        <v>1</v>
      </c>
      <c r="M859">
        <v>26213</v>
      </c>
      <c r="N859">
        <v>556</v>
      </c>
      <c r="O859" t="b">
        <v>1</v>
      </c>
      <c r="P859">
        <v>2040956</v>
      </c>
      <c r="Q859">
        <v>71.154811864450707</v>
      </c>
      <c r="R859" t="b">
        <v>0</v>
      </c>
      <c r="S859">
        <v>97.191011235955102</v>
      </c>
      <c r="T859" s="2" t="s">
        <v>100</v>
      </c>
      <c r="U859">
        <v>87</v>
      </c>
      <c r="V859" t="b">
        <v>1</v>
      </c>
      <c r="W859" t="b">
        <v>1</v>
      </c>
      <c r="X859">
        <v>54.867256637168097</v>
      </c>
    </row>
    <row r="860" spans="3:24" x14ac:dyDescent="0.35">
      <c r="C860" s="2" t="s">
        <v>77</v>
      </c>
      <c r="D860" s="3">
        <v>44926</v>
      </c>
      <c r="E860">
        <v>91.168439036625699</v>
      </c>
      <c r="F860">
        <v>96.960980123597096</v>
      </c>
      <c r="G860">
        <v>95.321477727727697</v>
      </c>
      <c r="H860">
        <v>95.137011354687104</v>
      </c>
      <c r="I860">
        <v>418106</v>
      </c>
      <c r="J860">
        <v>76.923076923076906</v>
      </c>
      <c r="K860">
        <v>13</v>
      </c>
      <c r="L860" t="b">
        <v>1</v>
      </c>
      <c r="M860">
        <v>24797</v>
      </c>
      <c r="N860">
        <v>486</v>
      </c>
      <c r="O860" t="b">
        <v>1</v>
      </c>
      <c r="P860">
        <v>2348892</v>
      </c>
      <c r="Q860">
        <v>73.521960578472303</v>
      </c>
      <c r="R860" t="b">
        <v>0</v>
      </c>
      <c r="S860">
        <v>97.5694444444444</v>
      </c>
      <c r="T860" s="2" t="s">
        <v>100</v>
      </c>
      <c r="U860">
        <v>87</v>
      </c>
      <c r="V860" t="b">
        <v>1</v>
      </c>
      <c r="W860" t="b">
        <v>1</v>
      </c>
      <c r="X860">
        <v>57.795100222717103</v>
      </c>
    </row>
    <row r="861" spans="3:24" x14ac:dyDescent="0.35">
      <c r="C861" s="2" t="s">
        <v>77</v>
      </c>
      <c r="D861" s="3">
        <v>44561</v>
      </c>
      <c r="E861">
        <v>92.627770239710401</v>
      </c>
      <c r="F861">
        <v>97.127650340863397</v>
      </c>
      <c r="G861">
        <v>88.637366535252795</v>
      </c>
      <c r="H861">
        <v>93.474921841100695</v>
      </c>
      <c r="I861">
        <v>428863</v>
      </c>
      <c r="J861">
        <v>75</v>
      </c>
      <c r="K861">
        <v>13</v>
      </c>
      <c r="L861" t="b">
        <v>1</v>
      </c>
      <c r="M861">
        <v>27659</v>
      </c>
      <c r="N861">
        <v>615</v>
      </c>
      <c r="O861" t="b">
        <v>1</v>
      </c>
      <c r="P861" s="2" t="s">
        <v>100</v>
      </c>
      <c r="Q861">
        <v>75.621147307915805</v>
      </c>
      <c r="R861" t="b">
        <v>0</v>
      </c>
      <c r="S861">
        <v>97.780678851174898</v>
      </c>
      <c r="T861" s="2" t="s">
        <v>100</v>
      </c>
      <c r="U861">
        <v>84</v>
      </c>
      <c r="V861" t="b">
        <v>1</v>
      </c>
      <c r="W861" t="b">
        <v>1</v>
      </c>
      <c r="X861">
        <v>58.312655086848601</v>
      </c>
    </row>
    <row r="862" spans="3:24" x14ac:dyDescent="0.35">
      <c r="C862" s="2" t="s">
        <v>77</v>
      </c>
      <c r="D862" s="3">
        <v>44196</v>
      </c>
      <c r="E862">
        <v>93.032966516845804</v>
      </c>
      <c r="F862">
        <v>97.151323373564296</v>
      </c>
      <c r="G862">
        <v>90.620675620675598</v>
      </c>
      <c r="H862">
        <v>94.192391014516403</v>
      </c>
      <c r="I862">
        <v>468186</v>
      </c>
      <c r="J862">
        <v>78.571428571428498</v>
      </c>
      <c r="K862">
        <v>14</v>
      </c>
      <c r="L862" t="b">
        <v>1</v>
      </c>
      <c r="M862">
        <v>30791</v>
      </c>
      <c r="N862">
        <v>428</v>
      </c>
      <c r="O862" t="b">
        <v>1</v>
      </c>
      <c r="P862" s="2" t="s">
        <v>100</v>
      </c>
      <c r="Q862">
        <v>78.200069035947806</v>
      </c>
      <c r="R862" t="b">
        <v>0</v>
      </c>
      <c r="S862">
        <v>97.470238095238102</v>
      </c>
      <c r="T862" s="2" t="s">
        <v>100</v>
      </c>
      <c r="U862">
        <v>87</v>
      </c>
      <c r="V862" t="b">
        <v>1</v>
      </c>
      <c r="W862" t="b">
        <v>1</v>
      </c>
      <c r="X862">
        <v>61.126005361930197</v>
      </c>
    </row>
    <row r="863" spans="3:24" x14ac:dyDescent="0.35">
      <c r="C863" s="2" t="s">
        <v>77</v>
      </c>
      <c r="D863" s="3">
        <v>43830</v>
      </c>
      <c r="E863">
        <v>92.040209515744607</v>
      </c>
      <c r="F863">
        <v>97.164633312505401</v>
      </c>
      <c r="G863">
        <v>91.063687279866002</v>
      </c>
      <c r="H863">
        <v>94.110254264230704</v>
      </c>
      <c r="I863">
        <v>517701</v>
      </c>
      <c r="J863">
        <v>76.923076923076906</v>
      </c>
      <c r="K863">
        <v>12</v>
      </c>
      <c r="L863" t="b">
        <v>1</v>
      </c>
      <c r="M863">
        <v>34980</v>
      </c>
      <c r="N863">
        <v>453</v>
      </c>
      <c r="O863" t="b">
        <v>1</v>
      </c>
      <c r="P863" s="2" t="s">
        <v>100</v>
      </c>
      <c r="Q863">
        <v>80.269779293880703</v>
      </c>
      <c r="R863" t="b">
        <v>0</v>
      </c>
      <c r="S863">
        <v>96.935483870967701</v>
      </c>
      <c r="T863" s="2" t="s">
        <v>100</v>
      </c>
      <c r="U863">
        <v>86</v>
      </c>
      <c r="V863" t="b">
        <v>1</v>
      </c>
      <c r="W863" t="b">
        <v>1</v>
      </c>
      <c r="X863">
        <v>60.5263157894736</v>
      </c>
    </row>
    <row r="864" spans="3:24" x14ac:dyDescent="0.35">
      <c r="C864" s="2" t="s">
        <v>77</v>
      </c>
      <c r="D864" s="3">
        <v>43465</v>
      </c>
      <c r="E864">
        <v>91.321115636184103</v>
      </c>
      <c r="F864">
        <v>97.015962507622405</v>
      </c>
      <c r="G864">
        <v>91.368140229440101</v>
      </c>
      <c r="H864">
        <v>93.972369053056596</v>
      </c>
      <c r="I864">
        <v>521721</v>
      </c>
      <c r="J864">
        <v>75</v>
      </c>
      <c r="K864">
        <v>12</v>
      </c>
      <c r="L864" t="b">
        <v>1</v>
      </c>
      <c r="M864">
        <v>31059</v>
      </c>
      <c r="N864">
        <v>536</v>
      </c>
      <c r="O864" t="b">
        <v>1</v>
      </c>
      <c r="P864" s="2" t="s">
        <v>100</v>
      </c>
      <c r="Q864">
        <v>82.220517481419506</v>
      </c>
      <c r="R864" t="b">
        <v>0</v>
      </c>
      <c r="S864">
        <v>97.3180076628352</v>
      </c>
      <c r="T864" s="2" t="s">
        <v>100</v>
      </c>
      <c r="U864">
        <v>84</v>
      </c>
      <c r="V864" t="b">
        <v>1</v>
      </c>
      <c r="W864" t="b">
        <v>1</v>
      </c>
      <c r="X864">
        <v>60.035211267605597</v>
      </c>
    </row>
    <row r="865" spans="3:24" x14ac:dyDescent="0.35">
      <c r="C865" s="2" t="s">
        <v>77</v>
      </c>
      <c r="D865" s="3">
        <v>43100</v>
      </c>
      <c r="E865">
        <v>91.478574901034804</v>
      </c>
      <c r="F865">
        <v>97.049927660122407</v>
      </c>
      <c r="G865">
        <v>88.229933428267103</v>
      </c>
      <c r="H865">
        <v>93.051618665400198</v>
      </c>
      <c r="I865">
        <v>543940</v>
      </c>
      <c r="J865">
        <v>78.571428571428498</v>
      </c>
      <c r="K865">
        <v>12</v>
      </c>
      <c r="L865" t="b">
        <v>1</v>
      </c>
      <c r="M865">
        <v>31199</v>
      </c>
      <c r="N865">
        <v>283.3</v>
      </c>
      <c r="O865" t="b">
        <v>1</v>
      </c>
      <c r="P865" s="2" t="s">
        <v>100</v>
      </c>
      <c r="Q865">
        <v>85.960763534790999</v>
      </c>
      <c r="R865" s="2" t="s">
        <v>100</v>
      </c>
      <c r="S865">
        <v>97.685185185185105</v>
      </c>
      <c r="T865" s="2" t="s">
        <v>100</v>
      </c>
      <c r="U865">
        <v>90</v>
      </c>
      <c r="V865" t="b">
        <v>1</v>
      </c>
      <c r="W865" t="b">
        <v>1</v>
      </c>
      <c r="X865">
        <v>62.139917695473201</v>
      </c>
    </row>
    <row r="866" spans="3:24" x14ac:dyDescent="0.35">
      <c r="C866" s="2" t="s">
        <v>77</v>
      </c>
      <c r="D866" s="3">
        <v>42735</v>
      </c>
      <c r="E866">
        <v>91.292639944325302</v>
      </c>
      <c r="F866">
        <v>87.497575178290504</v>
      </c>
      <c r="G866">
        <v>91.795965115637202</v>
      </c>
      <c r="H866">
        <v>89.691480062694893</v>
      </c>
      <c r="I866">
        <v>597895</v>
      </c>
      <c r="J866">
        <v>76.923076923076906</v>
      </c>
      <c r="K866">
        <v>10</v>
      </c>
      <c r="L866" t="b">
        <v>1</v>
      </c>
      <c r="M866">
        <v>31791</v>
      </c>
      <c r="N866">
        <v>255.6</v>
      </c>
      <c r="O866" t="b">
        <v>1</v>
      </c>
      <c r="P866" s="2" t="s">
        <v>100</v>
      </c>
      <c r="Q866">
        <v>86.761782529177495</v>
      </c>
      <c r="R866" s="2" t="s">
        <v>100</v>
      </c>
      <c r="S866">
        <v>96.370967741935402</v>
      </c>
      <c r="T866" s="2" t="s">
        <v>100</v>
      </c>
      <c r="U866">
        <v>87</v>
      </c>
      <c r="V866" t="b">
        <v>1</v>
      </c>
      <c r="W866" t="b">
        <v>1</v>
      </c>
      <c r="X866">
        <v>60.404624277456598</v>
      </c>
    </row>
    <row r="867" spans="3:24" x14ac:dyDescent="0.35">
      <c r="C867" s="2" t="s">
        <v>78</v>
      </c>
      <c r="D867" s="3">
        <v>45688</v>
      </c>
      <c r="E867">
        <v>72.235043170195198</v>
      </c>
      <c r="F867">
        <v>76.678122136003395</v>
      </c>
      <c r="G867">
        <v>60.270543981481403</v>
      </c>
      <c r="H867">
        <v>69.543566445074205</v>
      </c>
      <c r="I867">
        <v>178324</v>
      </c>
      <c r="J867">
        <v>66.6666666666666</v>
      </c>
      <c r="K867">
        <v>10</v>
      </c>
      <c r="L867" t="b">
        <v>1</v>
      </c>
      <c r="M867">
        <v>162984</v>
      </c>
      <c r="N867" s="2" t="s">
        <v>100</v>
      </c>
      <c r="O867" t="b">
        <v>1</v>
      </c>
      <c r="P867">
        <v>1553182.3</v>
      </c>
      <c r="Q867">
        <v>69.909916611739803</v>
      </c>
      <c r="R867" t="b">
        <v>0</v>
      </c>
      <c r="S867">
        <v>51.805054151624503</v>
      </c>
      <c r="T867" s="2" t="s">
        <v>100</v>
      </c>
      <c r="U867" s="2" t="s">
        <v>100</v>
      </c>
      <c r="V867" t="b">
        <v>1</v>
      </c>
      <c r="W867" t="b">
        <v>1</v>
      </c>
      <c r="X867">
        <v>51.9366197183098</v>
      </c>
    </row>
    <row r="868" spans="3:24" x14ac:dyDescent="0.35">
      <c r="C868" s="2" t="s">
        <v>78</v>
      </c>
      <c r="D868" s="3">
        <v>45322</v>
      </c>
      <c r="E868">
        <v>76.274506761549901</v>
      </c>
      <c r="F868">
        <v>76.1916406343353</v>
      </c>
      <c r="G868">
        <v>75.131495874959896</v>
      </c>
      <c r="H868">
        <v>75.801495729573105</v>
      </c>
      <c r="I868">
        <v>183128.12</v>
      </c>
      <c r="J868">
        <v>77.7777777777777</v>
      </c>
      <c r="K868">
        <v>9</v>
      </c>
      <c r="L868" t="b">
        <v>1</v>
      </c>
      <c r="M868">
        <v>174405</v>
      </c>
      <c r="N868" s="2" t="s">
        <v>100</v>
      </c>
      <c r="O868" t="b">
        <v>1</v>
      </c>
      <c r="P868">
        <v>1680218</v>
      </c>
      <c r="Q868">
        <v>70.2374273937494</v>
      </c>
      <c r="R868" t="b">
        <v>0</v>
      </c>
      <c r="S868">
        <v>53.804347826086897</v>
      </c>
      <c r="T868" s="2" t="s">
        <v>100</v>
      </c>
      <c r="U868" s="2" t="s">
        <v>100</v>
      </c>
      <c r="V868" t="b">
        <v>1</v>
      </c>
      <c r="W868" t="b">
        <v>1</v>
      </c>
      <c r="X868">
        <v>51.943462897526501</v>
      </c>
    </row>
    <row r="869" spans="3:24" x14ac:dyDescent="0.35">
      <c r="C869" s="2" t="s">
        <v>78</v>
      </c>
      <c r="D869" s="3">
        <v>44957</v>
      </c>
      <c r="E869">
        <v>76.986553923542701</v>
      </c>
      <c r="F869">
        <v>80.932770177516502</v>
      </c>
      <c r="G869">
        <v>78.556573766208004</v>
      </c>
      <c r="H869">
        <v>79.267079077743702</v>
      </c>
      <c r="I869">
        <v>226512</v>
      </c>
      <c r="J869">
        <v>77.7777777777777</v>
      </c>
      <c r="K869">
        <v>9</v>
      </c>
      <c r="L869" t="b">
        <v>1</v>
      </c>
      <c r="M869">
        <v>193000</v>
      </c>
      <c r="N869" s="2" t="s">
        <v>100</v>
      </c>
      <c r="O869" t="b">
        <v>1</v>
      </c>
      <c r="P869">
        <v>2642927</v>
      </c>
      <c r="Q869">
        <v>71.154811864450707</v>
      </c>
      <c r="R869" t="b">
        <v>0</v>
      </c>
      <c r="S869">
        <v>60.037174721189501</v>
      </c>
      <c r="T869" s="2" t="s">
        <v>100</v>
      </c>
      <c r="U869" s="2" t="s">
        <v>100</v>
      </c>
      <c r="V869" t="b">
        <v>1</v>
      </c>
      <c r="W869" t="b">
        <v>1</v>
      </c>
      <c r="X869">
        <v>52.707581227436798</v>
      </c>
    </row>
    <row r="870" spans="3:24" x14ac:dyDescent="0.35">
      <c r="C870" s="2" t="s">
        <v>78</v>
      </c>
      <c r="D870" s="3">
        <v>44592</v>
      </c>
      <c r="E870">
        <v>78.533071679561203</v>
      </c>
      <c r="F870">
        <v>67.782424294891399</v>
      </c>
      <c r="G870">
        <v>57.703860110110099</v>
      </c>
      <c r="H870">
        <v>65.981183255231002</v>
      </c>
      <c r="I870">
        <v>258191</v>
      </c>
      <c r="J870">
        <v>66.6666666666666</v>
      </c>
      <c r="K870">
        <v>8</v>
      </c>
      <c r="L870" t="b">
        <v>1</v>
      </c>
      <c r="M870">
        <v>210000</v>
      </c>
      <c r="N870" s="2" t="s">
        <v>100</v>
      </c>
      <c r="O870" t="b">
        <v>1</v>
      </c>
      <c r="P870">
        <v>2264474</v>
      </c>
      <c r="Q870">
        <v>73.521960578472303</v>
      </c>
      <c r="R870" t="b">
        <v>0</v>
      </c>
      <c r="S870">
        <v>25.581395348837201</v>
      </c>
      <c r="T870" s="2" t="s">
        <v>100</v>
      </c>
      <c r="U870">
        <v>83</v>
      </c>
      <c r="V870" t="b">
        <v>1</v>
      </c>
      <c r="W870" t="b">
        <v>1</v>
      </c>
      <c r="X870">
        <v>53.874538745387397</v>
      </c>
    </row>
    <row r="871" spans="3:24" x14ac:dyDescent="0.35">
      <c r="C871" s="2" t="s">
        <v>78</v>
      </c>
      <c r="D871" s="3">
        <v>44227</v>
      </c>
      <c r="E871">
        <v>80.050984320663801</v>
      </c>
      <c r="F871">
        <v>69.722387756609095</v>
      </c>
      <c r="G871">
        <v>67.335447518059595</v>
      </c>
      <c r="H871">
        <v>70.786056794536705</v>
      </c>
      <c r="I871">
        <v>249930</v>
      </c>
      <c r="J871">
        <v>70</v>
      </c>
      <c r="K871">
        <v>9</v>
      </c>
      <c r="L871" t="b">
        <v>1</v>
      </c>
      <c r="M871">
        <v>177000</v>
      </c>
      <c r="N871" s="2" t="s">
        <v>100</v>
      </c>
      <c r="O871" t="b">
        <v>1</v>
      </c>
      <c r="P871">
        <v>1683576</v>
      </c>
      <c r="Q871">
        <v>75.621147307915805</v>
      </c>
      <c r="R871" s="2" t="s">
        <v>100</v>
      </c>
      <c r="S871">
        <v>24.774774774774698</v>
      </c>
      <c r="T871" s="2" t="s">
        <v>100</v>
      </c>
      <c r="U871">
        <v>81</v>
      </c>
      <c r="V871" t="b">
        <v>1</v>
      </c>
      <c r="W871" t="b">
        <v>1</v>
      </c>
      <c r="X871">
        <v>56.0416666666666</v>
      </c>
    </row>
    <row r="872" spans="3:24" x14ac:dyDescent="0.35">
      <c r="C872" s="2" t="s">
        <v>78</v>
      </c>
      <c r="D872" s="3">
        <v>43861</v>
      </c>
      <c r="E872">
        <v>80.978002070393302</v>
      </c>
      <c r="F872">
        <v>75.991054411692105</v>
      </c>
      <c r="G872">
        <v>72.842897842897798</v>
      </c>
      <c r="H872">
        <v>75.7403248519051</v>
      </c>
      <c r="I872">
        <v>271843</v>
      </c>
      <c r="J872">
        <v>69.230769230769198</v>
      </c>
      <c r="K872">
        <v>8</v>
      </c>
      <c r="L872" t="b">
        <v>1</v>
      </c>
      <c r="M872">
        <v>183000</v>
      </c>
      <c r="N872" s="2" t="s">
        <v>100</v>
      </c>
      <c r="O872" t="b">
        <v>1</v>
      </c>
      <c r="P872" s="2" t="s">
        <v>100</v>
      </c>
      <c r="Q872">
        <v>78.200069035947806</v>
      </c>
      <c r="R872" s="2" t="s">
        <v>100</v>
      </c>
      <c r="S872">
        <v>55.2083333333333</v>
      </c>
      <c r="T872" s="2" t="s">
        <v>100</v>
      </c>
      <c r="U872">
        <v>79</v>
      </c>
      <c r="V872" t="b">
        <v>1</v>
      </c>
      <c r="W872" t="b">
        <v>1</v>
      </c>
      <c r="X872">
        <v>57.674418604651102</v>
      </c>
    </row>
    <row r="873" spans="3:24" x14ac:dyDescent="0.35">
      <c r="C873" s="2" t="s">
        <v>78</v>
      </c>
      <c r="D873" s="3">
        <v>43496</v>
      </c>
      <c r="E873">
        <v>81.115998149640305</v>
      </c>
      <c r="F873">
        <v>69.788784428727496</v>
      </c>
      <c r="G873">
        <v>74.041168658698496</v>
      </c>
      <c r="H873">
        <v>73.586398037827294</v>
      </c>
      <c r="I873">
        <v>291419</v>
      </c>
      <c r="J873">
        <v>83.3333333333333</v>
      </c>
      <c r="K873">
        <v>11</v>
      </c>
      <c r="L873" t="b">
        <v>1</v>
      </c>
      <c r="M873">
        <v>194000</v>
      </c>
      <c r="N873" s="2" t="s">
        <v>100</v>
      </c>
      <c r="O873" t="b">
        <v>1</v>
      </c>
      <c r="P873" s="2" t="s">
        <v>100</v>
      </c>
      <c r="Q873">
        <v>80.269779293880703</v>
      </c>
      <c r="R873" s="2" t="s">
        <v>100</v>
      </c>
      <c r="S873">
        <v>27.688172043010699</v>
      </c>
      <c r="T873" s="2" t="s">
        <v>100</v>
      </c>
      <c r="U873">
        <v>78</v>
      </c>
      <c r="V873" t="b">
        <v>1</v>
      </c>
      <c r="W873" t="b">
        <v>1</v>
      </c>
      <c r="X873">
        <v>56.8965517241379</v>
      </c>
    </row>
    <row r="874" spans="3:24" x14ac:dyDescent="0.35">
      <c r="C874" s="2" t="s">
        <v>78</v>
      </c>
      <c r="D874" s="3">
        <v>43131</v>
      </c>
      <c r="E874">
        <v>85.297626830370106</v>
      </c>
      <c r="F874">
        <v>73.142164502164505</v>
      </c>
      <c r="G874">
        <v>86.303456022708701</v>
      </c>
      <c r="H874">
        <v>80.510300849476096</v>
      </c>
      <c r="I874">
        <v>308944</v>
      </c>
      <c r="J874">
        <v>80</v>
      </c>
      <c r="K874">
        <v>9</v>
      </c>
      <c r="L874" t="b">
        <v>1</v>
      </c>
      <c r="M874">
        <v>207000</v>
      </c>
      <c r="N874" s="2" t="s">
        <v>100</v>
      </c>
      <c r="O874" t="b">
        <v>1</v>
      </c>
      <c r="P874">
        <v>780000</v>
      </c>
      <c r="Q874">
        <v>82.220517481419506</v>
      </c>
      <c r="R874" s="2" t="s">
        <v>100</v>
      </c>
      <c r="S874">
        <v>30.3333333333333</v>
      </c>
      <c r="T874" s="2" t="s">
        <v>100</v>
      </c>
      <c r="U874">
        <v>78</v>
      </c>
      <c r="V874" t="b">
        <v>1</v>
      </c>
      <c r="W874" t="b">
        <v>1</v>
      </c>
      <c r="X874">
        <v>59.428571428571402</v>
      </c>
    </row>
    <row r="875" spans="3:24" x14ac:dyDescent="0.35">
      <c r="C875" s="2" t="s">
        <v>78</v>
      </c>
      <c r="D875" s="3">
        <v>42766</v>
      </c>
      <c r="E875">
        <v>84.419191919191903</v>
      </c>
      <c r="F875">
        <v>74.840384615384593</v>
      </c>
      <c r="G875">
        <v>92.911491948339005</v>
      </c>
      <c r="H875">
        <v>83.595473928734407</v>
      </c>
      <c r="I875">
        <v>333373</v>
      </c>
      <c r="J875">
        <v>80</v>
      </c>
      <c r="K875">
        <v>9</v>
      </c>
      <c r="L875" t="b">
        <v>1</v>
      </c>
      <c r="M875">
        <v>193000</v>
      </c>
      <c r="N875" s="2" t="s">
        <v>100</v>
      </c>
      <c r="O875" t="b">
        <v>1</v>
      </c>
      <c r="P875">
        <v>1078000</v>
      </c>
      <c r="Q875">
        <v>85.960763534790999</v>
      </c>
      <c r="R875" s="2" t="s">
        <v>100</v>
      </c>
      <c r="S875">
        <v>30.769230769230699</v>
      </c>
      <c r="T875" s="2" t="s">
        <v>100</v>
      </c>
      <c r="U875">
        <v>84.6</v>
      </c>
      <c r="V875" t="b">
        <v>1</v>
      </c>
      <c r="W875" t="b">
        <v>1</v>
      </c>
      <c r="X875">
        <v>62.1875</v>
      </c>
    </row>
    <row r="876" spans="3:24" x14ac:dyDescent="0.35">
      <c r="C876" s="2" t="s">
        <v>78</v>
      </c>
      <c r="D876" s="3">
        <v>42400</v>
      </c>
      <c r="E876">
        <v>84.564542483660105</v>
      </c>
      <c r="F876">
        <v>74.697315956218304</v>
      </c>
      <c r="G876">
        <v>92.133217420102596</v>
      </c>
      <c r="H876">
        <v>83.264364149769193</v>
      </c>
      <c r="I876">
        <v>393610</v>
      </c>
      <c r="J876">
        <v>70</v>
      </c>
      <c r="K876">
        <v>9</v>
      </c>
      <c r="L876" t="b">
        <v>1</v>
      </c>
      <c r="M876">
        <v>237000</v>
      </c>
      <c r="N876" s="2" t="s">
        <v>100</v>
      </c>
      <c r="O876" t="b">
        <v>1</v>
      </c>
      <c r="P876">
        <v>878000</v>
      </c>
      <c r="Q876">
        <v>86.761782529177495</v>
      </c>
      <c r="R876" s="2" t="s">
        <v>100</v>
      </c>
      <c r="S876">
        <v>30.737704918032701</v>
      </c>
      <c r="T876" s="2" t="s">
        <v>100</v>
      </c>
      <c r="U876">
        <v>84</v>
      </c>
      <c r="V876" t="b">
        <v>1</v>
      </c>
      <c r="W876" t="b">
        <v>1</v>
      </c>
      <c r="X876">
        <v>63.043478260869499</v>
      </c>
    </row>
    <row r="877" spans="3:24" x14ac:dyDescent="0.35">
      <c r="C877" s="2" t="s">
        <v>79</v>
      </c>
      <c r="D877" s="3">
        <v>46112</v>
      </c>
      <c r="E877">
        <v>62.745098039215598</v>
      </c>
      <c r="F877">
        <v>81.399769585253495</v>
      </c>
      <c r="G877">
        <v>82.929009093392594</v>
      </c>
      <c r="H877">
        <v>73.671367904424798</v>
      </c>
      <c r="I877">
        <v>529215</v>
      </c>
      <c r="J877">
        <v>70</v>
      </c>
      <c r="K877">
        <v>8</v>
      </c>
      <c r="L877" t="b">
        <v>1</v>
      </c>
      <c r="M877">
        <v>823769</v>
      </c>
      <c r="N877" s="2" t="s">
        <v>100</v>
      </c>
      <c r="O877" t="b">
        <v>1</v>
      </c>
      <c r="P877">
        <v>308303.99183999997</v>
      </c>
      <c r="Q877">
        <v>69.503860513280898</v>
      </c>
      <c r="R877" t="b">
        <v>0</v>
      </c>
      <c r="S877">
        <v>16.25</v>
      </c>
      <c r="T877" s="2" t="s">
        <v>100</v>
      </c>
      <c r="U877">
        <v>88</v>
      </c>
      <c r="V877" t="b">
        <v>1</v>
      </c>
      <c r="W877" t="b">
        <v>1</v>
      </c>
      <c r="X877">
        <v>52.5</v>
      </c>
    </row>
    <row r="878" spans="3:24" x14ac:dyDescent="0.35">
      <c r="C878" s="2" t="s">
        <v>79</v>
      </c>
      <c r="D878" s="3">
        <v>45747</v>
      </c>
      <c r="E878">
        <v>58.159392789373697</v>
      </c>
      <c r="F878">
        <v>80.478110599078406</v>
      </c>
      <c r="G878">
        <v>82.345196759259196</v>
      </c>
      <c r="H878">
        <v>71.241336572140796</v>
      </c>
      <c r="I878">
        <v>550962</v>
      </c>
      <c r="J878">
        <v>77.7777777777777</v>
      </c>
      <c r="K878">
        <v>8</v>
      </c>
      <c r="L878" t="b">
        <v>1</v>
      </c>
      <c r="M878">
        <v>2992067</v>
      </c>
      <c r="N878" s="2" t="s">
        <v>100</v>
      </c>
      <c r="O878" t="b">
        <v>1</v>
      </c>
      <c r="P878">
        <v>285512.04342</v>
      </c>
      <c r="Q878">
        <v>69.909916611739803</v>
      </c>
      <c r="R878" t="b">
        <v>0</v>
      </c>
      <c r="S878">
        <v>16.25</v>
      </c>
      <c r="T878">
        <v>9.9739999999999995E-2</v>
      </c>
      <c r="U878">
        <v>86</v>
      </c>
      <c r="V878" t="b">
        <v>1</v>
      </c>
      <c r="W878" t="b">
        <v>1</v>
      </c>
      <c r="X878">
        <v>52.5</v>
      </c>
    </row>
    <row r="879" spans="3:24" x14ac:dyDescent="0.35">
      <c r="C879" s="2" t="s">
        <v>79</v>
      </c>
      <c r="D879" s="3">
        <v>45382</v>
      </c>
      <c r="E879">
        <v>63.627450980392098</v>
      </c>
      <c r="F879">
        <v>77.563364055299601</v>
      </c>
      <c r="G879">
        <v>80.234376533396102</v>
      </c>
      <c r="H879">
        <v>72.181277064027398</v>
      </c>
      <c r="I879">
        <v>538602</v>
      </c>
      <c r="J879">
        <v>70</v>
      </c>
      <c r="K879">
        <v>8</v>
      </c>
      <c r="L879" t="b">
        <v>1</v>
      </c>
      <c r="M879">
        <v>537390</v>
      </c>
      <c r="N879" s="2" t="s">
        <v>100</v>
      </c>
      <c r="O879" t="b">
        <v>1</v>
      </c>
      <c r="P879">
        <v>266200.32000000001</v>
      </c>
      <c r="Q879">
        <v>70.2374273937494</v>
      </c>
      <c r="R879" t="b">
        <v>0</v>
      </c>
      <c r="S879">
        <v>16.25</v>
      </c>
      <c r="T879">
        <v>0.10705000000000001</v>
      </c>
      <c r="U879">
        <v>86</v>
      </c>
      <c r="V879" t="b">
        <v>1</v>
      </c>
      <c r="W879" t="b">
        <v>1</v>
      </c>
      <c r="X879">
        <v>52.5</v>
      </c>
    </row>
    <row r="880" spans="3:24" x14ac:dyDescent="0.35">
      <c r="C880" s="2" t="s">
        <v>79</v>
      </c>
      <c r="D880" s="3">
        <v>45016</v>
      </c>
      <c r="E880">
        <v>66.211577469183894</v>
      </c>
      <c r="F880">
        <v>76.501427265434103</v>
      </c>
      <c r="G880">
        <v>80.826732985519698</v>
      </c>
      <c r="H880">
        <v>73.129963527116601</v>
      </c>
      <c r="I880">
        <v>545388</v>
      </c>
      <c r="J880">
        <v>80</v>
      </c>
      <c r="K880">
        <v>9</v>
      </c>
      <c r="L880" t="b">
        <v>1</v>
      </c>
      <c r="M880">
        <v>397266</v>
      </c>
      <c r="N880" s="2" t="s">
        <v>100</v>
      </c>
      <c r="O880" t="b">
        <v>1</v>
      </c>
      <c r="P880">
        <v>215158.44</v>
      </c>
      <c r="Q880">
        <v>71.154811864450707</v>
      </c>
      <c r="R880" t="b">
        <v>0</v>
      </c>
      <c r="S880">
        <v>11.8421052631578</v>
      </c>
      <c r="T880">
        <v>0.18439</v>
      </c>
      <c r="U880">
        <v>84</v>
      </c>
      <c r="V880" t="b">
        <v>1</v>
      </c>
      <c r="W880" t="b">
        <v>1</v>
      </c>
      <c r="X880">
        <v>55.128205128205103</v>
      </c>
    </row>
    <row r="881" spans="3:24" x14ac:dyDescent="0.35">
      <c r="C881" s="2" t="s">
        <v>79</v>
      </c>
      <c r="D881" s="3">
        <v>44651</v>
      </c>
      <c r="E881">
        <v>64.600840336134397</v>
      </c>
      <c r="F881">
        <v>80.872112685238406</v>
      </c>
      <c r="G881">
        <v>75.631788038037996</v>
      </c>
      <c r="H881">
        <v>72.447834199716397</v>
      </c>
      <c r="I881">
        <v>555062</v>
      </c>
      <c r="J881">
        <v>81.818181818181799</v>
      </c>
      <c r="K881">
        <v>10</v>
      </c>
      <c r="L881" t="b">
        <v>1</v>
      </c>
      <c r="M881">
        <v>306286</v>
      </c>
      <c r="N881" s="2" t="s">
        <v>100</v>
      </c>
      <c r="O881" t="b">
        <v>1</v>
      </c>
      <c r="P881">
        <v>222688</v>
      </c>
      <c r="Q881">
        <v>73.521960578472303</v>
      </c>
      <c r="R881" t="b">
        <v>0</v>
      </c>
      <c r="S881">
        <v>20.8333333333333</v>
      </c>
      <c r="T881">
        <v>0.19786000000000001</v>
      </c>
      <c r="U881">
        <v>82</v>
      </c>
      <c r="V881" t="b">
        <v>1</v>
      </c>
      <c r="W881" t="b">
        <v>1</v>
      </c>
      <c r="X881">
        <v>61.538461538461497</v>
      </c>
    </row>
    <row r="882" spans="3:24" x14ac:dyDescent="0.35">
      <c r="C882" s="2" t="s">
        <v>79</v>
      </c>
      <c r="D882" s="3">
        <v>44286</v>
      </c>
      <c r="E882">
        <v>64.511245674740394</v>
      </c>
      <c r="F882">
        <v>83.027485187623498</v>
      </c>
      <c r="G882">
        <v>85.446228922609507</v>
      </c>
      <c r="H882">
        <v>75.587093411457403</v>
      </c>
      <c r="I882">
        <v>559067</v>
      </c>
      <c r="J882">
        <v>77.7777777777777</v>
      </c>
      <c r="K882">
        <v>9</v>
      </c>
      <c r="L882" t="b">
        <v>1</v>
      </c>
      <c r="M882">
        <v>264284</v>
      </c>
      <c r="N882" s="2" t="s">
        <v>100</v>
      </c>
      <c r="O882" t="b">
        <v>1</v>
      </c>
      <c r="P882">
        <v>57510.18</v>
      </c>
      <c r="Q882">
        <v>75.621147307915805</v>
      </c>
      <c r="R882" t="b">
        <v>0</v>
      </c>
      <c r="S882">
        <v>26.5625</v>
      </c>
      <c r="T882">
        <v>0.26917999999999997</v>
      </c>
      <c r="U882">
        <v>83</v>
      </c>
      <c r="V882" t="b">
        <v>1</v>
      </c>
      <c r="W882" t="b">
        <v>1</v>
      </c>
      <c r="X882">
        <v>65.2777777777777</v>
      </c>
    </row>
    <row r="883" spans="3:24" x14ac:dyDescent="0.35">
      <c r="C883" s="2" t="s">
        <v>79</v>
      </c>
      <c r="D883" s="3">
        <v>43921</v>
      </c>
      <c r="E883">
        <v>60.133689839572099</v>
      </c>
      <c r="F883">
        <v>76.6233766233767</v>
      </c>
      <c r="G883">
        <v>74.493691493691401</v>
      </c>
      <c r="H883">
        <v>68.900492584703102</v>
      </c>
      <c r="I883">
        <v>561183</v>
      </c>
      <c r="J883">
        <v>66.6666666666666</v>
      </c>
      <c r="K883">
        <v>9</v>
      </c>
      <c r="L883" t="b">
        <v>1</v>
      </c>
      <c r="M883">
        <v>446893</v>
      </c>
      <c r="N883" s="2" t="s">
        <v>100</v>
      </c>
      <c r="O883" t="b">
        <v>1</v>
      </c>
      <c r="P883">
        <v>114392</v>
      </c>
      <c r="Q883">
        <v>78.200069035947806</v>
      </c>
      <c r="R883" t="b">
        <v>0</v>
      </c>
      <c r="S883">
        <v>26.785714285714199</v>
      </c>
      <c r="T883">
        <v>2.06</v>
      </c>
      <c r="U883">
        <v>81</v>
      </c>
      <c r="V883" t="b">
        <v>1</v>
      </c>
      <c r="W883" t="b">
        <v>1</v>
      </c>
      <c r="X883">
        <v>66.6666666666666</v>
      </c>
    </row>
    <row r="884" spans="3:24" x14ac:dyDescent="0.35">
      <c r="C884" s="2" t="s">
        <v>79</v>
      </c>
      <c r="D884" s="3">
        <v>43555</v>
      </c>
      <c r="E884">
        <v>50.207584546220097</v>
      </c>
      <c r="F884">
        <v>79.032173118987401</v>
      </c>
      <c r="G884">
        <v>43.228361914660098</v>
      </c>
      <c r="H884">
        <v>57.318076219918098</v>
      </c>
      <c r="I884">
        <v>350086</v>
      </c>
      <c r="J884">
        <v>55.5555555555555</v>
      </c>
      <c r="K884">
        <v>8</v>
      </c>
      <c r="L884" t="b">
        <v>1</v>
      </c>
      <c r="M884" s="2" t="s">
        <v>100</v>
      </c>
      <c r="N884" s="2" t="s">
        <v>100</v>
      </c>
      <c r="O884" t="b">
        <v>1</v>
      </c>
      <c r="P884">
        <v>118936</v>
      </c>
      <c r="Q884">
        <v>80.269779293880703</v>
      </c>
      <c r="R884" t="b">
        <v>0</v>
      </c>
      <c r="S884">
        <v>46</v>
      </c>
      <c r="T884" s="2" t="s">
        <v>100</v>
      </c>
      <c r="U884" s="2" t="s">
        <v>100</v>
      </c>
      <c r="V884" t="b">
        <v>1</v>
      </c>
      <c r="W884" t="b">
        <v>1</v>
      </c>
      <c r="X884">
        <v>69.354838709677395</v>
      </c>
    </row>
    <row r="885" spans="3:24" x14ac:dyDescent="0.35">
      <c r="C885" s="2" t="s">
        <v>79</v>
      </c>
      <c r="D885" s="3">
        <v>43190</v>
      </c>
      <c r="E885">
        <v>40.632992327365699</v>
      </c>
      <c r="F885">
        <v>73.417508658442301</v>
      </c>
      <c r="G885">
        <v>49.583243204268499</v>
      </c>
      <c r="H885">
        <v>53.044493325496703</v>
      </c>
      <c r="I885">
        <v>413700</v>
      </c>
      <c r="J885">
        <v>55.5555555555555</v>
      </c>
      <c r="K885">
        <v>9</v>
      </c>
      <c r="L885" t="b">
        <v>1</v>
      </c>
      <c r="M885" s="2" t="s">
        <v>100</v>
      </c>
      <c r="N885" s="2" t="s">
        <v>100</v>
      </c>
      <c r="O885" t="b">
        <v>1</v>
      </c>
      <c r="P885">
        <v>122296</v>
      </c>
      <c r="Q885">
        <v>82.220517481419506</v>
      </c>
      <c r="R885" t="b">
        <v>0</v>
      </c>
      <c r="S885">
        <v>17.3913043478261</v>
      </c>
      <c r="T885" s="2" t="s">
        <v>100</v>
      </c>
      <c r="U885" s="2" t="s">
        <v>100</v>
      </c>
      <c r="V885" t="b">
        <v>1</v>
      </c>
      <c r="W885" t="b">
        <v>1</v>
      </c>
      <c r="X885">
        <v>67.857142857142804</v>
      </c>
    </row>
    <row r="886" spans="3:24" x14ac:dyDescent="0.35">
      <c r="C886" s="2" t="s">
        <v>79</v>
      </c>
      <c r="D886" s="3">
        <v>42825</v>
      </c>
      <c r="E886">
        <v>41.749226006191897</v>
      </c>
      <c r="F886">
        <v>76.026625704045102</v>
      </c>
      <c r="G886">
        <v>59.551331552734297</v>
      </c>
      <c r="H886">
        <v>56.888023634658097</v>
      </c>
      <c r="I886">
        <v>432557</v>
      </c>
      <c r="J886">
        <v>63.636363636363598</v>
      </c>
      <c r="K886">
        <v>9</v>
      </c>
      <c r="L886" t="b">
        <v>1</v>
      </c>
      <c r="M886" s="2" t="s">
        <v>100</v>
      </c>
      <c r="N886" s="2" t="s">
        <v>100</v>
      </c>
      <c r="O886" t="b">
        <v>1</v>
      </c>
      <c r="P886">
        <v>119480</v>
      </c>
      <c r="Q886">
        <v>85.960763534790999</v>
      </c>
      <c r="R886" s="2" t="s">
        <v>100</v>
      </c>
      <c r="S886">
        <v>22.5</v>
      </c>
      <c r="T886" s="2" t="s">
        <v>100</v>
      </c>
      <c r="U886" s="2" t="s">
        <v>100</v>
      </c>
      <c r="V886" t="b">
        <v>1</v>
      </c>
      <c r="W886" t="b">
        <v>1</v>
      </c>
      <c r="X886">
        <v>74.074074074074105</v>
      </c>
    </row>
    <row r="887" spans="3:24" x14ac:dyDescent="0.35">
      <c r="C887" s="2" t="s">
        <v>80</v>
      </c>
      <c r="D887" s="3">
        <v>46022</v>
      </c>
      <c r="E887">
        <v>34.1944444444444</v>
      </c>
      <c r="F887">
        <v>56.986563786076999</v>
      </c>
      <c r="G887">
        <v>18.200840643274798</v>
      </c>
      <c r="H887">
        <v>34.631416330480498</v>
      </c>
      <c r="I887">
        <v>437185</v>
      </c>
      <c r="J887">
        <v>100</v>
      </c>
      <c r="K887">
        <v>8</v>
      </c>
      <c r="L887" t="b">
        <v>0</v>
      </c>
      <c r="M887" s="2" t="s">
        <v>100</v>
      </c>
      <c r="N887" s="2" t="s">
        <v>100</v>
      </c>
      <c r="O887" s="2" t="s">
        <v>100</v>
      </c>
      <c r="P887" s="2" t="s">
        <v>100</v>
      </c>
      <c r="Q887">
        <v>69.909916611739803</v>
      </c>
      <c r="R887" t="b">
        <v>0</v>
      </c>
      <c r="S887">
        <v>50</v>
      </c>
      <c r="T887" s="2" t="s">
        <v>100</v>
      </c>
      <c r="U887" s="2" t="s">
        <v>100</v>
      </c>
      <c r="V887" t="b">
        <v>0</v>
      </c>
      <c r="W887" t="b">
        <v>1</v>
      </c>
      <c r="X887">
        <v>57.803468208092397</v>
      </c>
    </row>
    <row r="888" spans="3:24" x14ac:dyDescent="0.35">
      <c r="C888" s="2" t="s">
        <v>80</v>
      </c>
      <c r="D888" s="3">
        <v>45657</v>
      </c>
      <c r="E888">
        <v>31.300712038416901</v>
      </c>
      <c r="F888">
        <v>51.333769205622701</v>
      </c>
      <c r="G888">
        <v>12.4505633084064</v>
      </c>
      <c r="H888">
        <v>29.212946513593099</v>
      </c>
      <c r="I888">
        <v>404678</v>
      </c>
      <c r="J888">
        <v>100</v>
      </c>
      <c r="K888">
        <v>8</v>
      </c>
      <c r="L888" t="b">
        <v>0</v>
      </c>
      <c r="M888" s="2" t="s">
        <v>100</v>
      </c>
      <c r="N888" s="2" t="s">
        <v>100</v>
      </c>
      <c r="O888" s="2" t="s">
        <v>100</v>
      </c>
      <c r="P888" s="2" t="s">
        <v>100</v>
      </c>
      <c r="Q888">
        <v>70.2374273937494</v>
      </c>
      <c r="R888" t="b">
        <v>0</v>
      </c>
      <c r="S888">
        <v>50</v>
      </c>
      <c r="T888" s="2" t="s">
        <v>100</v>
      </c>
      <c r="U888" s="2" t="s">
        <v>100</v>
      </c>
      <c r="V888" t="b">
        <v>0</v>
      </c>
      <c r="W888" t="b">
        <v>1</v>
      </c>
      <c r="X888">
        <v>54.347826086956502</v>
      </c>
    </row>
    <row r="889" spans="3:24" x14ac:dyDescent="0.35">
      <c r="C889" s="2" t="s">
        <v>80</v>
      </c>
      <c r="D889" s="3">
        <v>45291</v>
      </c>
      <c r="E889">
        <v>13.4504862953138</v>
      </c>
      <c r="F889">
        <v>53.252316838608103</v>
      </c>
      <c r="G889">
        <v>16.9948368610277</v>
      </c>
      <c r="H889">
        <v>30.446550948857201</v>
      </c>
      <c r="I889">
        <v>345366</v>
      </c>
      <c r="J889">
        <v>100</v>
      </c>
      <c r="K889">
        <v>8</v>
      </c>
      <c r="L889" t="b">
        <v>0</v>
      </c>
      <c r="M889" s="2" t="s">
        <v>100</v>
      </c>
      <c r="N889" s="2" t="s">
        <v>100</v>
      </c>
      <c r="O889" s="2" t="s">
        <v>100</v>
      </c>
      <c r="P889" s="2" t="s">
        <v>100</v>
      </c>
      <c r="Q889">
        <v>71.154811864450707</v>
      </c>
      <c r="R889" t="b">
        <v>0</v>
      </c>
      <c r="S889">
        <v>50</v>
      </c>
      <c r="T889" s="2" t="s">
        <v>100</v>
      </c>
      <c r="U889" s="2" t="s">
        <v>100</v>
      </c>
      <c r="V889" t="b">
        <v>0</v>
      </c>
      <c r="W889" t="b">
        <v>1</v>
      </c>
      <c r="X889">
        <v>55.092592592592503</v>
      </c>
    </row>
    <row r="890" spans="3:24" x14ac:dyDescent="0.35">
      <c r="C890" s="2" t="s">
        <v>80</v>
      </c>
      <c r="D890" s="3">
        <v>44926</v>
      </c>
      <c r="E890">
        <v>11.1111111111111</v>
      </c>
      <c r="F890">
        <v>53.059629271197799</v>
      </c>
      <c r="G890">
        <v>14.8624562062062</v>
      </c>
      <c r="H890">
        <v>29.032013782769098</v>
      </c>
      <c r="I890" s="2" t="s">
        <v>100</v>
      </c>
      <c r="J890">
        <v>100</v>
      </c>
      <c r="K890">
        <v>8</v>
      </c>
      <c r="L890" t="b">
        <v>0</v>
      </c>
      <c r="M890" s="2" t="s">
        <v>100</v>
      </c>
      <c r="N890" s="2" t="s">
        <v>100</v>
      </c>
      <c r="O890" s="2" t="s">
        <v>100</v>
      </c>
      <c r="P890" s="2" t="s">
        <v>100</v>
      </c>
      <c r="Q890">
        <v>73.521960578472303</v>
      </c>
      <c r="R890" t="b">
        <v>0</v>
      </c>
      <c r="S890">
        <v>50</v>
      </c>
      <c r="T890" s="2" t="s">
        <v>100</v>
      </c>
      <c r="U890" s="2" t="s">
        <v>100</v>
      </c>
      <c r="V890" t="b">
        <v>0</v>
      </c>
      <c r="W890" t="b">
        <v>1</v>
      </c>
      <c r="X890">
        <v>54.950495049504902</v>
      </c>
    </row>
    <row r="891" spans="3:24" x14ac:dyDescent="0.35">
      <c r="C891" s="2" t="s">
        <v>80</v>
      </c>
      <c r="D891" s="3">
        <v>44561</v>
      </c>
      <c r="E891">
        <v>11.7886178861788</v>
      </c>
      <c r="F891">
        <v>53.069620168819803</v>
      </c>
      <c r="G891">
        <v>20.382811193772099</v>
      </c>
      <c r="H891">
        <v>31.952881780041398</v>
      </c>
      <c r="I891" s="2" t="s">
        <v>100</v>
      </c>
      <c r="J891">
        <v>100</v>
      </c>
      <c r="K891">
        <v>8</v>
      </c>
      <c r="L891" t="b">
        <v>0</v>
      </c>
      <c r="M891" s="2" t="s">
        <v>100</v>
      </c>
      <c r="N891" s="2" t="s">
        <v>100</v>
      </c>
      <c r="O891" s="2" t="s">
        <v>100</v>
      </c>
      <c r="P891" s="2" t="s">
        <v>100</v>
      </c>
      <c r="Q891">
        <v>75.621147307915805</v>
      </c>
      <c r="R891" s="2" t="s">
        <v>100</v>
      </c>
      <c r="S891">
        <v>50</v>
      </c>
      <c r="T891" s="2" t="s">
        <v>100</v>
      </c>
      <c r="U891" s="2" t="s">
        <v>100</v>
      </c>
      <c r="V891" t="b">
        <v>0</v>
      </c>
      <c r="W891" t="b">
        <v>1</v>
      </c>
      <c r="X891">
        <v>57.692307692307601</v>
      </c>
    </row>
    <row r="892" spans="3:24" x14ac:dyDescent="0.35">
      <c r="C892" s="2" t="s">
        <v>80</v>
      </c>
      <c r="D892" s="3">
        <v>44196</v>
      </c>
      <c r="E892">
        <v>0</v>
      </c>
      <c r="F892">
        <v>55.606966133281901</v>
      </c>
      <c r="G892">
        <v>23.432234432234399</v>
      </c>
      <c r="H892">
        <v>33.276586514408798</v>
      </c>
      <c r="I892" s="2" t="s">
        <v>100</v>
      </c>
      <c r="J892">
        <v>100</v>
      </c>
      <c r="K892">
        <v>8</v>
      </c>
      <c r="L892" t="b">
        <v>0</v>
      </c>
      <c r="M892" s="2" t="s">
        <v>100</v>
      </c>
      <c r="N892" s="2" t="s">
        <v>100</v>
      </c>
      <c r="O892" s="2" t="s">
        <v>100</v>
      </c>
      <c r="P892" s="2" t="s">
        <v>100</v>
      </c>
      <c r="Q892">
        <v>78.200069035947806</v>
      </c>
      <c r="R892" s="2" t="s">
        <v>100</v>
      </c>
      <c r="S892">
        <v>50</v>
      </c>
      <c r="T892" s="2" t="s">
        <v>100</v>
      </c>
      <c r="U892" s="2" t="s">
        <v>100</v>
      </c>
      <c r="V892" t="b">
        <v>0</v>
      </c>
      <c r="W892" t="b">
        <v>1</v>
      </c>
      <c r="X892">
        <v>61.1111111111111</v>
      </c>
    </row>
    <row r="893" spans="3:24" x14ac:dyDescent="0.35">
      <c r="C893" s="2" t="s">
        <v>80</v>
      </c>
      <c r="D893" s="3">
        <v>43830</v>
      </c>
      <c r="E893">
        <v>0</v>
      </c>
      <c r="F893">
        <v>46.693789267689702</v>
      </c>
      <c r="G893">
        <v>30.066054622091301</v>
      </c>
      <c r="H893">
        <v>33.3013289529489</v>
      </c>
      <c r="I893" s="2" t="s">
        <v>100</v>
      </c>
      <c r="J893">
        <v>100</v>
      </c>
      <c r="K893">
        <v>8</v>
      </c>
      <c r="L893" t="b">
        <v>0</v>
      </c>
      <c r="M893" s="2" t="s">
        <v>100</v>
      </c>
      <c r="N893" s="2" t="s">
        <v>100</v>
      </c>
      <c r="O893" s="2" t="s">
        <v>100</v>
      </c>
      <c r="P893" s="2" t="s">
        <v>100</v>
      </c>
      <c r="Q893">
        <v>12.008762479708199</v>
      </c>
      <c r="R893" s="2" t="s">
        <v>100</v>
      </c>
      <c r="S893">
        <v>50</v>
      </c>
      <c r="T893" s="2" t="s">
        <v>100</v>
      </c>
      <c r="U893" s="2" t="s">
        <v>100</v>
      </c>
      <c r="V893" t="b">
        <v>0</v>
      </c>
      <c r="W893" t="b">
        <v>1</v>
      </c>
      <c r="X893">
        <v>62.328767123287598</v>
      </c>
    </row>
    <row r="894" spans="3:24" x14ac:dyDescent="0.35">
      <c r="C894" s="2" t="s">
        <v>80</v>
      </c>
      <c r="D894" s="3">
        <v>43465</v>
      </c>
      <c r="E894">
        <v>0</v>
      </c>
      <c r="F894">
        <v>33.1901181525241</v>
      </c>
      <c r="G894">
        <v>23.4083586643441</v>
      </c>
      <c r="H894" s="2">
        <v>24.721462102772598</v>
      </c>
      <c r="I894" s="2" t="s">
        <v>100</v>
      </c>
      <c r="J894">
        <v>100</v>
      </c>
      <c r="K894">
        <v>8</v>
      </c>
      <c r="L894" t="b">
        <v>0</v>
      </c>
      <c r="M894" s="2" t="s">
        <v>100</v>
      </c>
      <c r="N894" s="2" t="s">
        <v>100</v>
      </c>
      <c r="O894" s="2" t="s">
        <v>100</v>
      </c>
      <c r="P894" s="2" t="s">
        <v>100</v>
      </c>
      <c r="Q894">
        <v>13.9549058403905</v>
      </c>
      <c r="R894" s="2" t="s">
        <v>100</v>
      </c>
      <c r="S894">
        <v>50</v>
      </c>
      <c r="T894" s="2" t="s">
        <v>100</v>
      </c>
      <c r="U894" s="2" t="s">
        <v>100</v>
      </c>
      <c r="V894" t="b">
        <v>0</v>
      </c>
      <c r="W894" t="b">
        <v>1</v>
      </c>
      <c r="X894">
        <v>61.1111111111111</v>
      </c>
    </row>
    <row r="895" spans="3:24" x14ac:dyDescent="0.35">
      <c r="C895" s="2" t="s">
        <v>80</v>
      </c>
      <c r="D895" s="3">
        <v>43100</v>
      </c>
      <c r="E895">
        <v>13.4615384615384</v>
      </c>
      <c r="F895">
        <v>34.989747095010202</v>
      </c>
      <c r="G895">
        <v>25.3522350768562</v>
      </c>
      <c r="H895" s="2">
        <v>27.7984357079823</v>
      </c>
      <c r="I895" s="2">
        <v>0</v>
      </c>
      <c r="J895">
        <v>100</v>
      </c>
      <c r="K895">
        <v>8</v>
      </c>
      <c r="L895" t="b">
        <v>0</v>
      </c>
      <c r="M895" s="2" t="s">
        <v>100</v>
      </c>
      <c r="N895" s="2" t="s">
        <v>100</v>
      </c>
      <c r="O895" s="2" t="s">
        <v>100</v>
      </c>
      <c r="P895" s="2" t="s">
        <v>100</v>
      </c>
      <c r="Q895">
        <v>17.695432117423302</v>
      </c>
      <c r="R895" s="2" t="s">
        <v>100</v>
      </c>
      <c r="S895">
        <v>50</v>
      </c>
      <c r="T895" s="2" t="s">
        <v>100</v>
      </c>
      <c r="U895" s="2" t="s">
        <v>100</v>
      </c>
      <c r="V895" t="b">
        <v>0</v>
      </c>
      <c r="W895" t="b">
        <v>1</v>
      </c>
      <c r="X895">
        <v>66.363636363636303</v>
      </c>
    </row>
    <row r="896" spans="3:24" x14ac:dyDescent="0.35">
      <c r="C896" s="2" t="s">
        <v>80</v>
      </c>
      <c r="D896" s="3">
        <v>42735</v>
      </c>
      <c r="E896">
        <v>14.1666666666666</v>
      </c>
      <c r="F896">
        <v>35.023605525441504</v>
      </c>
      <c r="G896">
        <v>21.809764309764301</v>
      </c>
      <c r="H896">
        <v>26.0570117783417</v>
      </c>
      <c r="I896">
        <v>0</v>
      </c>
      <c r="J896">
        <v>100</v>
      </c>
      <c r="K896">
        <v>8</v>
      </c>
      <c r="L896" t="b">
        <v>0</v>
      </c>
      <c r="M896" s="2" t="s">
        <v>100</v>
      </c>
      <c r="N896" s="2" t="s">
        <v>100</v>
      </c>
      <c r="O896" s="2" t="s">
        <v>100</v>
      </c>
      <c r="P896" s="2" t="s">
        <v>100</v>
      </c>
      <c r="Q896">
        <v>18.497865737530599</v>
      </c>
      <c r="R896" s="2" t="s">
        <v>100</v>
      </c>
      <c r="S896">
        <v>50</v>
      </c>
      <c r="T896" s="2" t="s">
        <v>100</v>
      </c>
      <c r="U896" s="2" t="s">
        <v>100</v>
      </c>
      <c r="V896" t="b">
        <v>0</v>
      </c>
      <c r="W896" t="b">
        <v>1</v>
      </c>
      <c r="X896">
        <v>71.428571428571402</v>
      </c>
    </row>
    <row r="897" spans="3:24" x14ac:dyDescent="0.35">
      <c r="C897" s="2" t="s">
        <v>81</v>
      </c>
      <c r="D897" s="3">
        <v>45747</v>
      </c>
      <c r="E897">
        <v>50.575740778068898</v>
      </c>
      <c r="F897">
        <v>42.369655797179398</v>
      </c>
      <c r="G897">
        <v>68.289169103313796</v>
      </c>
      <c r="H897">
        <v>52.709072366570702</v>
      </c>
      <c r="I897">
        <v>123193</v>
      </c>
      <c r="J897">
        <v>70</v>
      </c>
      <c r="K897">
        <v>10</v>
      </c>
      <c r="L897" t="b">
        <v>1</v>
      </c>
      <c r="M897">
        <v>29512.5</v>
      </c>
      <c r="N897" s="2" t="s">
        <v>100</v>
      </c>
      <c r="O897" t="b">
        <v>1</v>
      </c>
      <c r="P897" s="2" t="s">
        <v>100</v>
      </c>
      <c r="Q897">
        <v>69.909916611739803</v>
      </c>
      <c r="R897" t="b">
        <v>0</v>
      </c>
      <c r="S897">
        <v>11.538461538461499</v>
      </c>
      <c r="T897">
        <v>2.5</v>
      </c>
      <c r="U897" s="2" t="s">
        <v>100</v>
      </c>
      <c r="V897" t="b">
        <v>1</v>
      </c>
      <c r="W897" t="b">
        <v>1</v>
      </c>
      <c r="X897">
        <v>51.893939393939299</v>
      </c>
    </row>
    <row r="898" spans="3:24" x14ac:dyDescent="0.35">
      <c r="C898" s="2" t="s">
        <v>81</v>
      </c>
      <c r="D898" s="3">
        <v>45382</v>
      </c>
      <c r="E898">
        <v>51.369186796089302</v>
      </c>
      <c r="F898">
        <v>41.613331029825702</v>
      </c>
      <c r="G898">
        <v>74.050373903315105</v>
      </c>
      <c r="H898">
        <v>54.430670379420697</v>
      </c>
      <c r="I898">
        <v>87146</v>
      </c>
      <c r="J898">
        <v>70</v>
      </c>
      <c r="K898">
        <v>10</v>
      </c>
      <c r="L898" t="b">
        <v>1</v>
      </c>
      <c r="M898">
        <v>32743.1</v>
      </c>
      <c r="N898" s="2" t="s">
        <v>100</v>
      </c>
      <c r="O898" t="b">
        <v>1</v>
      </c>
      <c r="P898" s="2" t="s">
        <v>100</v>
      </c>
      <c r="Q898">
        <v>70.2374273937494</v>
      </c>
      <c r="R898" t="b">
        <v>0</v>
      </c>
      <c r="S898">
        <v>12.0155038759689</v>
      </c>
      <c r="T898">
        <v>3.55</v>
      </c>
      <c r="U898" s="2" t="s">
        <v>100</v>
      </c>
      <c r="V898" t="b">
        <v>1</v>
      </c>
      <c r="W898" t="b">
        <v>1</v>
      </c>
      <c r="X898">
        <v>52.307692307692299</v>
      </c>
    </row>
    <row r="899" spans="3:24" x14ac:dyDescent="0.35">
      <c r="C899" s="2" t="s">
        <v>81</v>
      </c>
      <c r="D899" s="3">
        <v>45016</v>
      </c>
      <c r="E899">
        <v>54.891359671315698</v>
      </c>
      <c r="F899">
        <v>45.433397573510199</v>
      </c>
      <c r="G899">
        <v>72.547869416736503</v>
      </c>
      <c r="H899">
        <v>56.456879459645101</v>
      </c>
      <c r="I899">
        <v>101229</v>
      </c>
      <c r="J899">
        <v>70</v>
      </c>
      <c r="K899">
        <v>8</v>
      </c>
      <c r="L899" t="b">
        <v>1</v>
      </c>
      <c r="M899">
        <v>47809.4</v>
      </c>
      <c r="N899" s="2" t="s">
        <v>100</v>
      </c>
      <c r="O899" t="b">
        <v>1</v>
      </c>
      <c r="P899" s="2" t="s">
        <v>100</v>
      </c>
      <c r="Q899">
        <v>71.154811864450707</v>
      </c>
      <c r="R899" t="b">
        <v>0</v>
      </c>
      <c r="S899">
        <v>12.6984126984126</v>
      </c>
      <c r="T899">
        <v>2.4500000000000002</v>
      </c>
      <c r="U899" s="2" t="s">
        <v>100</v>
      </c>
      <c r="V899" t="b">
        <v>1</v>
      </c>
      <c r="W899" t="b">
        <v>1</v>
      </c>
      <c r="X899">
        <v>55.078125</v>
      </c>
    </row>
    <row r="900" spans="3:24" x14ac:dyDescent="0.35">
      <c r="C900" s="2" t="s">
        <v>81</v>
      </c>
      <c r="D900" s="3">
        <v>44651</v>
      </c>
      <c r="E900">
        <v>61.556603773584897</v>
      </c>
      <c r="F900">
        <v>40.892594686263301</v>
      </c>
      <c r="G900">
        <v>69.665477977977901</v>
      </c>
      <c r="H900">
        <v>55.113400787045798</v>
      </c>
      <c r="I900">
        <v>100939</v>
      </c>
      <c r="J900">
        <v>72.727272727272705</v>
      </c>
      <c r="K900">
        <v>9</v>
      </c>
      <c r="L900" t="b">
        <v>1</v>
      </c>
      <c r="M900">
        <v>37450</v>
      </c>
      <c r="N900" s="2" t="s">
        <v>100</v>
      </c>
      <c r="O900" t="b">
        <v>1</v>
      </c>
      <c r="P900" s="2" t="s">
        <v>100</v>
      </c>
      <c r="Q900">
        <v>73.521960578472303</v>
      </c>
      <c r="R900" t="b">
        <v>0</v>
      </c>
      <c r="S900">
        <v>10.344827586206801</v>
      </c>
      <c r="T900">
        <v>2.8</v>
      </c>
      <c r="U900" s="2" t="s">
        <v>100</v>
      </c>
      <c r="V900" t="b">
        <v>1</v>
      </c>
      <c r="W900" t="b">
        <v>1</v>
      </c>
      <c r="X900">
        <v>58.8</v>
      </c>
    </row>
    <row r="901" spans="3:24" x14ac:dyDescent="0.35">
      <c r="C901" s="2" t="s">
        <v>81</v>
      </c>
      <c r="D901" s="3">
        <v>44286</v>
      </c>
      <c r="E901">
        <v>57.339759988353002</v>
      </c>
      <c r="F901">
        <v>36.830049125130998</v>
      </c>
      <c r="G901">
        <v>83.535680969056003</v>
      </c>
      <c r="H901">
        <v>56.819789351483102</v>
      </c>
      <c r="I901">
        <v>130494</v>
      </c>
      <c r="J901">
        <v>66.6666666666666</v>
      </c>
      <c r="K901">
        <v>11</v>
      </c>
      <c r="L901" t="b">
        <v>1</v>
      </c>
      <c r="M901">
        <v>22749.3</v>
      </c>
      <c r="N901" s="2" t="s">
        <v>100</v>
      </c>
      <c r="O901" t="b">
        <v>1</v>
      </c>
      <c r="P901">
        <v>177000</v>
      </c>
      <c r="Q901">
        <v>75.621147307915805</v>
      </c>
      <c r="R901" s="2" t="s">
        <v>100</v>
      </c>
      <c r="S901">
        <v>7.0707070707070701</v>
      </c>
      <c r="T901">
        <v>2.6</v>
      </c>
      <c r="U901" s="2" t="s">
        <v>100</v>
      </c>
      <c r="V901" t="b">
        <v>1</v>
      </c>
      <c r="W901" t="b">
        <v>1</v>
      </c>
      <c r="X901">
        <v>60.185185185185098</v>
      </c>
    </row>
    <row r="902" spans="3:24" x14ac:dyDescent="0.35">
      <c r="C902" s="2" t="s">
        <v>81</v>
      </c>
      <c r="D902" s="3">
        <v>43921</v>
      </c>
      <c r="E902">
        <v>49.150499523276501</v>
      </c>
      <c r="F902">
        <v>34.047020498665503</v>
      </c>
      <c r="G902">
        <v>75.865282865282794</v>
      </c>
      <c r="H902">
        <v>51.1710249181614</v>
      </c>
      <c r="I902">
        <v>242653</v>
      </c>
      <c r="J902">
        <v>61.538461538461497</v>
      </c>
      <c r="K902">
        <v>12</v>
      </c>
      <c r="L902" t="b">
        <v>1</v>
      </c>
      <c r="M902" s="2" t="s">
        <v>100</v>
      </c>
      <c r="N902" s="2" t="s">
        <v>100</v>
      </c>
      <c r="O902" t="b">
        <v>1</v>
      </c>
      <c r="P902" s="2" t="s">
        <v>100</v>
      </c>
      <c r="Q902">
        <v>78.200069035947806</v>
      </c>
      <c r="R902" s="2" t="s">
        <v>100</v>
      </c>
      <c r="S902">
        <v>7.0652173913043397</v>
      </c>
      <c r="T902">
        <v>1.4</v>
      </c>
      <c r="U902" s="2" t="s">
        <v>100</v>
      </c>
      <c r="V902" t="b">
        <v>1</v>
      </c>
      <c r="W902" t="b">
        <v>1</v>
      </c>
      <c r="X902">
        <v>61.792452830188601</v>
      </c>
    </row>
    <row r="903" spans="3:24" x14ac:dyDescent="0.35">
      <c r="C903" s="2" t="s">
        <v>81</v>
      </c>
      <c r="D903" s="3">
        <v>43555</v>
      </c>
      <c r="E903">
        <v>40.267754704374397</v>
      </c>
      <c r="F903">
        <v>34.122990814517202</v>
      </c>
      <c r="G903">
        <v>64.315953576996407</v>
      </c>
      <c r="H903">
        <v>45.356519826580801</v>
      </c>
      <c r="I903">
        <v>249516</v>
      </c>
      <c r="J903">
        <v>53.846153846153797</v>
      </c>
      <c r="K903">
        <v>12</v>
      </c>
      <c r="L903" t="b">
        <v>0</v>
      </c>
      <c r="M903" s="2" t="s">
        <v>100</v>
      </c>
      <c r="N903" s="2" t="s">
        <v>100</v>
      </c>
      <c r="O903" t="b">
        <v>1</v>
      </c>
      <c r="P903" s="2" t="s">
        <v>100</v>
      </c>
      <c r="Q903">
        <v>80.269779293880703</v>
      </c>
      <c r="R903" s="2" t="s">
        <v>100</v>
      </c>
      <c r="S903">
        <v>10.714285714285699</v>
      </c>
      <c r="T903">
        <v>1.8</v>
      </c>
      <c r="U903" s="2" t="s">
        <v>100</v>
      </c>
      <c r="V903" t="b">
        <v>0</v>
      </c>
      <c r="W903" t="b">
        <v>1</v>
      </c>
      <c r="X903">
        <v>59.139784946236503</v>
      </c>
    </row>
    <row r="904" spans="3:24" x14ac:dyDescent="0.35">
      <c r="C904" s="2" t="s">
        <v>81</v>
      </c>
      <c r="D904" s="3">
        <v>43190</v>
      </c>
      <c r="E904">
        <v>30.990394387437298</v>
      </c>
      <c r="F904">
        <v>31.4642584271574</v>
      </c>
      <c r="G904">
        <v>74.289801943751897</v>
      </c>
      <c r="H904">
        <v>45.216142923099703</v>
      </c>
      <c r="I904">
        <v>286077.8</v>
      </c>
      <c r="J904">
        <v>54.545454545454497</v>
      </c>
      <c r="K904">
        <v>10</v>
      </c>
      <c r="L904" t="b">
        <v>0</v>
      </c>
      <c r="M904" s="2" t="s">
        <v>100</v>
      </c>
      <c r="N904" s="2" t="s">
        <v>100</v>
      </c>
      <c r="O904" t="b">
        <v>1</v>
      </c>
      <c r="P904" s="2" t="s">
        <v>100</v>
      </c>
      <c r="Q904">
        <v>82.220517481419506</v>
      </c>
      <c r="R904" s="2" t="s">
        <v>100</v>
      </c>
      <c r="S904">
        <v>11.6883116883116</v>
      </c>
      <c r="T904">
        <v>1.1000000000000001</v>
      </c>
      <c r="U904" s="2" t="s">
        <v>100</v>
      </c>
      <c r="V904" t="b">
        <v>0</v>
      </c>
      <c r="W904" t="b">
        <v>1</v>
      </c>
      <c r="X904">
        <v>56.172839506172799</v>
      </c>
    </row>
    <row r="905" spans="3:24" x14ac:dyDescent="0.35">
      <c r="C905" s="2" t="s">
        <v>81</v>
      </c>
      <c r="D905" s="3">
        <v>42825</v>
      </c>
      <c r="E905">
        <v>28.1144781144781</v>
      </c>
      <c r="F905">
        <v>24.424791486914</v>
      </c>
      <c r="G905">
        <v>68.910906287120397</v>
      </c>
      <c r="H905">
        <v>39.702739866186597</v>
      </c>
      <c r="I905">
        <v>217852.2</v>
      </c>
      <c r="J905">
        <v>46.153846153846096</v>
      </c>
      <c r="K905">
        <v>12</v>
      </c>
      <c r="L905" t="b">
        <v>0</v>
      </c>
      <c r="M905" s="2" t="s">
        <v>100</v>
      </c>
      <c r="N905" s="2" t="s">
        <v>100</v>
      </c>
      <c r="O905" t="b">
        <v>1</v>
      </c>
      <c r="P905" s="2" t="s">
        <v>100</v>
      </c>
      <c r="Q905">
        <v>85.960763534790999</v>
      </c>
      <c r="R905" s="2" t="s">
        <v>100</v>
      </c>
      <c r="S905">
        <v>13.157894736842101</v>
      </c>
      <c r="T905">
        <v>1.3</v>
      </c>
      <c r="U905" s="2" t="s">
        <v>100</v>
      </c>
      <c r="V905" t="b">
        <v>0</v>
      </c>
      <c r="W905" t="b">
        <v>1</v>
      </c>
      <c r="X905">
        <v>60</v>
      </c>
    </row>
    <row r="906" spans="3:24" x14ac:dyDescent="0.35">
      <c r="C906" s="2" t="s">
        <v>81</v>
      </c>
      <c r="D906" s="3">
        <v>42460</v>
      </c>
      <c r="E906">
        <v>26.9743221012953</v>
      </c>
      <c r="F906">
        <v>22.702982388885701</v>
      </c>
      <c r="G906">
        <v>69.577606667770596</v>
      </c>
      <c r="H906">
        <v>38.678438121633498</v>
      </c>
      <c r="I906">
        <v>199037.84</v>
      </c>
      <c r="J906">
        <v>46.6666666666666</v>
      </c>
      <c r="K906">
        <v>13</v>
      </c>
      <c r="L906" t="b">
        <v>0</v>
      </c>
      <c r="M906" s="2" t="s">
        <v>100</v>
      </c>
      <c r="N906" s="2" t="s">
        <v>100</v>
      </c>
      <c r="O906" t="b">
        <v>1</v>
      </c>
      <c r="P906" s="2" t="s">
        <v>100</v>
      </c>
      <c r="Q906">
        <v>86.761782529177495</v>
      </c>
      <c r="R906" s="2" t="s">
        <v>100</v>
      </c>
      <c r="S906">
        <v>22.2222222222222</v>
      </c>
      <c r="T906">
        <v>1.9</v>
      </c>
      <c r="U906" s="2" t="s">
        <v>100</v>
      </c>
      <c r="V906" t="b">
        <v>0</v>
      </c>
      <c r="W906" t="b">
        <v>1</v>
      </c>
      <c r="X906">
        <v>59.285714285714199</v>
      </c>
    </row>
    <row r="907" spans="3:24" x14ac:dyDescent="0.35">
      <c r="C907" s="2" t="s">
        <v>82</v>
      </c>
      <c r="D907" s="3">
        <v>46022</v>
      </c>
      <c r="E907">
        <v>92.648263303041105</v>
      </c>
      <c r="F907">
        <v>93.119838721167497</v>
      </c>
      <c r="G907">
        <v>80.133939449317694</v>
      </c>
      <c r="H907">
        <v>89.591778051034098</v>
      </c>
      <c r="I907">
        <v>515000</v>
      </c>
      <c r="J907">
        <v>83.3333333333333</v>
      </c>
      <c r="K907">
        <v>10</v>
      </c>
      <c r="L907" t="b">
        <v>1</v>
      </c>
      <c r="M907">
        <v>111530</v>
      </c>
      <c r="N907" s="2" t="s">
        <v>100</v>
      </c>
      <c r="O907" t="b">
        <v>1</v>
      </c>
      <c r="P907">
        <v>544885.80000000005</v>
      </c>
      <c r="Q907">
        <v>69.909916611739803</v>
      </c>
      <c r="R907" t="b">
        <v>0</v>
      </c>
      <c r="S907">
        <v>97.106481481481396</v>
      </c>
      <c r="T907">
        <v>0.6</v>
      </c>
      <c r="U907">
        <v>85</v>
      </c>
      <c r="V907" t="b">
        <v>1</v>
      </c>
      <c r="W907" t="b">
        <v>1</v>
      </c>
      <c r="X907">
        <v>55.393258426966298</v>
      </c>
    </row>
    <row r="908" spans="3:24" x14ac:dyDescent="0.35">
      <c r="C908" s="2" t="s">
        <v>82</v>
      </c>
      <c r="D908" s="3">
        <v>45657</v>
      </c>
      <c r="E908">
        <v>96.269198423487794</v>
      </c>
      <c r="F908">
        <v>94.012800741741898</v>
      </c>
      <c r="G908">
        <v>85.107043317827603</v>
      </c>
      <c r="H908">
        <v>92.3346155525999</v>
      </c>
      <c r="I908">
        <v>561961</v>
      </c>
      <c r="J908">
        <v>83.3333333333333</v>
      </c>
      <c r="K908">
        <v>10</v>
      </c>
      <c r="L908" t="b">
        <v>1</v>
      </c>
      <c r="M908">
        <v>110580</v>
      </c>
      <c r="N908" s="2" t="s">
        <v>100</v>
      </c>
      <c r="O908" t="b">
        <v>1</v>
      </c>
      <c r="P908">
        <v>881190</v>
      </c>
      <c r="Q908">
        <v>70.2374273937494</v>
      </c>
      <c r="R908" t="b">
        <v>0</v>
      </c>
      <c r="S908">
        <v>97.392290249433103</v>
      </c>
      <c r="T908">
        <v>0.6</v>
      </c>
      <c r="U908">
        <v>84</v>
      </c>
      <c r="V908" t="b">
        <v>1</v>
      </c>
      <c r="W908" t="b">
        <v>1</v>
      </c>
      <c r="X908">
        <v>56.703296703296701</v>
      </c>
    </row>
    <row r="909" spans="3:24" x14ac:dyDescent="0.35">
      <c r="C909" s="2" t="s">
        <v>82</v>
      </c>
      <c r="D909" s="3">
        <v>45291</v>
      </c>
      <c r="E909">
        <v>95.804716862538697</v>
      </c>
      <c r="F909">
        <v>90.816894976619196</v>
      </c>
      <c r="G909">
        <v>90.252840627506103</v>
      </c>
      <c r="H909">
        <v>92.102902161774097</v>
      </c>
      <c r="I909">
        <v>641000</v>
      </c>
      <c r="J909">
        <v>84.615384615384599</v>
      </c>
      <c r="K909">
        <v>11</v>
      </c>
      <c r="L909" t="b">
        <v>1</v>
      </c>
      <c r="M909">
        <v>114940</v>
      </c>
      <c r="N909" s="2" t="s">
        <v>100</v>
      </c>
      <c r="O909" t="b">
        <v>1</v>
      </c>
      <c r="P909" s="2" t="s">
        <v>100</v>
      </c>
      <c r="Q909">
        <v>71.154811864450707</v>
      </c>
      <c r="R909" t="b">
        <v>0</v>
      </c>
      <c r="S909">
        <v>91.004672897196201</v>
      </c>
      <c r="T909">
        <v>0.85</v>
      </c>
      <c r="U909">
        <v>80</v>
      </c>
      <c r="V909" t="b">
        <v>1</v>
      </c>
      <c r="W909" t="b">
        <v>1</v>
      </c>
      <c r="X909">
        <v>58.3333333333333</v>
      </c>
    </row>
    <row r="910" spans="3:24" x14ac:dyDescent="0.35">
      <c r="C910" s="2" t="s">
        <v>82</v>
      </c>
      <c r="D910" s="3">
        <v>44926</v>
      </c>
      <c r="E910">
        <v>95.538131008869101</v>
      </c>
      <c r="F910">
        <v>91.894303583436496</v>
      </c>
      <c r="G910">
        <v>90.657907907907898</v>
      </c>
      <c r="H910">
        <v>92.618435090897407</v>
      </c>
      <c r="I910">
        <v>685000</v>
      </c>
      <c r="J910">
        <v>83.3333333333333</v>
      </c>
      <c r="K910">
        <v>11</v>
      </c>
      <c r="L910" t="b">
        <v>1</v>
      </c>
      <c r="M910">
        <v>126000</v>
      </c>
      <c r="N910" s="2" t="s">
        <v>100</v>
      </c>
      <c r="O910" t="b">
        <v>1</v>
      </c>
      <c r="P910" s="2" t="s">
        <v>100</v>
      </c>
      <c r="Q910">
        <v>73.521960578472303</v>
      </c>
      <c r="R910" t="b">
        <v>0</v>
      </c>
      <c r="S910">
        <v>92.034313725490094</v>
      </c>
      <c r="T910">
        <v>0.95</v>
      </c>
      <c r="U910">
        <v>79</v>
      </c>
      <c r="V910" t="b">
        <v>1</v>
      </c>
      <c r="W910" t="b">
        <v>1</v>
      </c>
      <c r="X910">
        <v>61.738148984198602</v>
      </c>
    </row>
    <row r="911" spans="3:24" x14ac:dyDescent="0.35">
      <c r="C911" s="2" t="s">
        <v>82</v>
      </c>
      <c r="D911" s="3">
        <v>44561</v>
      </c>
      <c r="E911">
        <v>93.642159432511093</v>
      </c>
      <c r="F911">
        <v>91.563474726684404</v>
      </c>
      <c r="G911">
        <v>95.6648040589846</v>
      </c>
      <c r="H911">
        <v>93.232297443038206</v>
      </c>
      <c r="I911">
        <v>718000</v>
      </c>
      <c r="J911">
        <v>75</v>
      </c>
      <c r="K911">
        <v>10</v>
      </c>
      <c r="L911" t="b">
        <v>1</v>
      </c>
      <c r="M911">
        <v>137000</v>
      </c>
      <c r="N911" s="2" t="s">
        <v>100</v>
      </c>
      <c r="O911" t="b">
        <v>1</v>
      </c>
      <c r="P911" s="2" t="s">
        <v>100</v>
      </c>
      <c r="Q911">
        <v>75.621147307915805</v>
      </c>
      <c r="R911" t="b">
        <v>0</v>
      </c>
      <c r="S911">
        <v>87.608069164265103</v>
      </c>
      <c r="T911">
        <v>1</v>
      </c>
      <c r="U911">
        <v>79</v>
      </c>
      <c r="V911" t="b">
        <v>1</v>
      </c>
      <c r="W911" t="b">
        <v>1</v>
      </c>
      <c r="X911">
        <v>61.866666666666603</v>
      </c>
    </row>
    <row r="912" spans="3:24" x14ac:dyDescent="0.35">
      <c r="C912" s="2" t="s">
        <v>82</v>
      </c>
      <c r="D912" s="3">
        <v>44196</v>
      </c>
      <c r="E912">
        <v>96.060558020294195</v>
      </c>
      <c r="F912">
        <v>94.338478746623295</v>
      </c>
      <c r="G912">
        <v>86.031339031339002</v>
      </c>
      <c r="H912">
        <v>92.663132661624402</v>
      </c>
      <c r="I912">
        <v>760000</v>
      </c>
      <c r="J912">
        <v>76.923076923076906</v>
      </c>
      <c r="K912">
        <v>12</v>
      </c>
      <c r="L912" t="b">
        <v>1</v>
      </c>
      <c r="M912">
        <v>143639</v>
      </c>
      <c r="N912" s="2" t="s">
        <v>100</v>
      </c>
      <c r="O912" t="b">
        <v>1</v>
      </c>
      <c r="P912" s="2" t="s">
        <v>100</v>
      </c>
      <c r="Q912">
        <v>78.200069035947806</v>
      </c>
      <c r="R912" t="b">
        <v>0</v>
      </c>
      <c r="S912">
        <v>88.851351351351298</v>
      </c>
      <c r="T912">
        <v>1.1000000000000001</v>
      </c>
      <c r="U912" s="2" t="s">
        <v>100</v>
      </c>
      <c r="V912" t="b">
        <v>1</v>
      </c>
      <c r="W912" t="b">
        <v>1</v>
      </c>
      <c r="X912">
        <v>62.839879154078503</v>
      </c>
    </row>
    <row r="913" spans="3:24" x14ac:dyDescent="0.35">
      <c r="C913" s="2" t="s">
        <v>82</v>
      </c>
      <c r="D913" s="3">
        <v>43830</v>
      </c>
      <c r="E913">
        <v>93.516721680424695</v>
      </c>
      <c r="F913">
        <v>93.466445170045802</v>
      </c>
      <c r="G913">
        <v>81.819158150008604</v>
      </c>
      <c r="H913">
        <v>90.438060678679093</v>
      </c>
      <c r="I913">
        <v>849242</v>
      </c>
      <c r="J913">
        <v>61.538461538461497</v>
      </c>
      <c r="K913">
        <v>11</v>
      </c>
      <c r="L913" t="b">
        <v>1</v>
      </c>
      <c r="M913">
        <v>152468</v>
      </c>
      <c r="N913" s="2" t="s">
        <v>100</v>
      </c>
      <c r="O913" t="b">
        <v>1</v>
      </c>
      <c r="P913" s="2" t="s">
        <v>100</v>
      </c>
      <c r="Q913">
        <v>80.269779293880703</v>
      </c>
      <c r="R913" t="b">
        <v>0</v>
      </c>
      <c r="S913">
        <v>88.764044943820195</v>
      </c>
      <c r="T913">
        <v>1.35</v>
      </c>
      <c r="U913">
        <v>82</v>
      </c>
      <c r="V913" t="b">
        <v>1</v>
      </c>
      <c r="W913" t="b">
        <v>1</v>
      </c>
      <c r="X913">
        <v>60.975609756097498</v>
      </c>
    </row>
    <row r="914" spans="3:24" x14ac:dyDescent="0.35">
      <c r="C914" s="2" t="s">
        <v>82</v>
      </c>
      <c r="D914" s="3">
        <v>43465</v>
      </c>
      <c r="E914">
        <v>85.4135487419573</v>
      </c>
      <c r="F914">
        <v>89.971774427160199</v>
      </c>
      <c r="G914">
        <v>90.767671937793807</v>
      </c>
      <c r="H914">
        <v>88.869790198196398</v>
      </c>
      <c r="I914">
        <v>841000</v>
      </c>
      <c r="J914">
        <v>76.923076923076906</v>
      </c>
      <c r="K914">
        <v>10</v>
      </c>
      <c r="L914" t="b">
        <v>1</v>
      </c>
      <c r="M914">
        <v>155000</v>
      </c>
      <c r="N914" s="2" t="s">
        <v>100</v>
      </c>
      <c r="O914" t="b">
        <v>1</v>
      </c>
      <c r="P914" s="2" t="s">
        <v>100</v>
      </c>
      <c r="Q914">
        <v>82.220517481419506</v>
      </c>
      <c r="R914" t="b">
        <v>0</v>
      </c>
      <c r="S914">
        <v>89.639639639639597</v>
      </c>
      <c r="T914">
        <v>1.45</v>
      </c>
      <c r="U914">
        <v>83</v>
      </c>
      <c r="V914" t="b">
        <v>1</v>
      </c>
      <c r="W914" t="b">
        <v>1</v>
      </c>
      <c r="X914">
        <v>63.3333333333333</v>
      </c>
    </row>
    <row r="915" spans="3:24" x14ac:dyDescent="0.35">
      <c r="C915" s="2" t="s">
        <v>82</v>
      </c>
      <c r="D915" s="3">
        <v>43100</v>
      </c>
      <c r="E915">
        <v>79.998175345823597</v>
      </c>
      <c r="F915">
        <v>84.382201976406407</v>
      </c>
      <c r="G915">
        <v>84.4819377829416</v>
      </c>
      <c r="H915">
        <v>83.148406870921605</v>
      </c>
      <c r="I915">
        <v>864000</v>
      </c>
      <c r="J915">
        <v>78.571428571428498</v>
      </c>
      <c r="K915">
        <v>13</v>
      </c>
      <c r="L915" t="b">
        <v>1</v>
      </c>
      <c r="M915">
        <v>160000</v>
      </c>
      <c r="N915" s="2" t="s">
        <v>100</v>
      </c>
      <c r="O915" t="b">
        <v>1</v>
      </c>
      <c r="P915" s="2" t="s">
        <v>100</v>
      </c>
      <c r="Q915">
        <v>85.960763534790999</v>
      </c>
      <c r="R915" s="2" t="s">
        <v>100</v>
      </c>
      <c r="S915">
        <v>73.280423280423193</v>
      </c>
      <c r="T915">
        <v>1.8</v>
      </c>
      <c r="U915">
        <v>83</v>
      </c>
      <c r="V915" t="b">
        <v>1</v>
      </c>
      <c r="W915" t="b">
        <v>1</v>
      </c>
      <c r="X915">
        <v>67.317073170731703</v>
      </c>
    </row>
    <row r="916" spans="3:24" x14ac:dyDescent="0.35">
      <c r="C916" s="2" t="s">
        <v>82</v>
      </c>
      <c r="D916" s="3">
        <v>42735</v>
      </c>
      <c r="E916">
        <v>83.941893972289094</v>
      </c>
      <c r="F916">
        <v>84.434412639525505</v>
      </c>
      <c r="G916">
        <v>79.641082960755099</v>
      </c>
      <c r="H916">
        <v>83.040627388014002</v>
      </c>
      <c r="I916">
        <v>687909</v>
      </c>
      <c r="J916">
        <v>78.571428571428498</v>
      </c>
      <c r="K916">
        <v>11</v>
      </c>
      <c r="L916" t="b">
        <v>1</v>
      </c>
      <c r="M916">
        <v>130580</v>
      </c>
      <c r="N916" s="2" t="s">
        <v>100</v>
      </c>
      <c r="O916" t="b">
        <v>1</v>
      </c>
      <c r="P916" s="2" t="s">
        <v>100</v>
      </c>
      <c r="Q916">
        <v>86.761782529177495</v>
      </c>
      <c r="R916" s="2" t="s">
        <v>100</v>
      </c>
      <c r="S916">
        <v>73.837209302325505</v>
      </c>
      <c r="T916">
        <v>1.2</v>
      </c>
      <c r="U916">
        <v>72</v>
      </c>
      <c r="V916" t="b">
        <v>1</v>
      </c>
      <c r="W916" t="b">
        <v>1</v>
      </c>
      <c r="X916">
        <v>68.817204301075193</v>
      </c>
    </row>
    <row r="917" spans="3:24" x14ac:dyDescent="0.35">
      <c r="C917" s="2" t="s">
        <v>83</v>
      </c>
      <c r="D917" s="3">
        <v>45657</v>
      </c>
      <c r="E917">
        <v>88.316951971240499</v>
      </c>
      <c r="F917">
        <v>52.095665378962799</v>
      </c>
      <c r="G917">
        <v>74.670462946606705</v>
      </c>
      <c r="H917">
        <v>67.689999674711203</v>
      </c>
      <c r="I917">
        <v>4162</v>
      </c>
      <c r="J917">
        <v>69.230769230769198</v>
      </c>
      <c r="K917">
        <v>11</v>
      </c>
      <c r="L917" t="b">
        <v>1</v>
      </c>
      <c r="M917" s="2" t="s">
        <v>100</v>
      </c>
      <c r="N917" s="2" t="s">
        <v>100</v>
      </c>
      <c r="O917" t="b">
        <v>1</v>
      </c>
      <c r="P917" s="2" t="s">
        <v>100</v>
      </c>
      <c r="Q917">
        <v>70.2374273937494</v>
      </c>
      <c r="R917" t="b">
        <v>0</v>
      </c>
      <c r="S917">
        <v>42.146596858638702</v>
      </c>
      <c r="T917" s="2" t="s">
        <v>100</v>
      </c>
      <c r="U917" s="2" t="s">
        <v>100</v>
      </c>
      <c r="V917" t="b">
        <v>1</v>
      </c>
      <c r="W917" t="b">
        <v>1</v>
      </c>
      <c r="X917">
        <v>53.1941031941031</v>
      </c>
    </row>
    <row r="918" spans="3:24" x14ac:dyDescent="0.35">
      <c r="C918" s="2" t="s">
        <v>83</v>
      </c>
      <c r="D918" s="3">
        <v>45291</v>
      </c>
      <c r="E918">
        <v>78.672234296321705</v>
      </c>
      <c r="F918">
        <v>57.148119616727897</v>
      </c>
      <c r="G918">
        <v>69.813478225610197</v>
      </c>
      <c r="H918">
        <v>66.065390969828599</v>
      </c>
      <c r="I918">
        <v>4409</v>
      </c>
      <c r="J918">
        <v>64.285714285714207</v>
      </c>
      <c r="K918">
        <v>11</v>
      </c>
      <c r="L918" t="b">
        <v>1</v>
      </c>
      <c r="M918">
        <v>399</v>
      </c>
      <c r="N918" s="2" t="s">
        <v>100</v>
      </c>
      <c r="O918" t="b">
        <v>1</v>
      </c>
      <c r="P918" s="2" t="s">
        <v>100</v>
      </c>
      <c r="Q918">
        <v>71.154811864450707</v>
      </c>
      <c r="R918" t="b">
        <v>0</v>
      </c>
      <c r="S918">
        <v>41.8032786885245</v>
      </c>
      <c r="T918" s="2" t="s">
        <v>100</v>
      </c>
      <c r="U918" s="2" t="s">
        <v>100</v>
      </c>
      <c r="V918" t="b">
        <v>1</v>
      </c>
      <c r="W918" t="b">
        <v>1</v>
      </c>
      <c r="X918">
        <v>54.145728643216103</v>
      </c>
    </row>
    <row r="919" spans="3:24" x14ac:dyDescent="0.35">
      <c r="C919" s="2" t="s">
        <v>83</v>
      </c>
      <c r="D919" s="3">
        <v>44926</v>
      </c>
      <c r="E919">
        <v>79.587424813043398</v>
      </c>
      <c r="F919">
        <v>56.022907331905998</v>
      </c>
      <c r="G919">
        <v>69.784409409409406</v>
      </c>
      <c r="H919">
        <v>65.736778621885307</v>
      </c>
      <c r="I919">
        <v>4500</v>
      </c>
      <c r="J919">
        <v>61.538461538461497</v>
      </c>
      <c r="K919">
        <v>12</v>
      </c>
      <c r="L919" t="b">
        <v>1</v>
      </c>
      <c r="M919">
        <v>494</v>
      </c>
      <c r="N919" s="2" t="s">
        <v>100</v>
      </c>
      <c r="O919" t="b">
        <v>1</v>
      </c>
      <c r="P919" s="2" t="s">
        <v>100</v>
      </c>
      <c r="Q919">
        <v>73.521960578472303</v>
      </c>
      <c r="R919" t="b">
        <v>0</v>
      </c>
      <c r="S919">
        <v>42.9166666666666</v>
      </c>
      <c r="T919" s="2" t="s">
        <v>100</v>
      </c>
      <c r="U919" s="2" t="s">
        <v>100</v>
      </c>
      <c r="V919" t="b">
        <v>1</v>
      </c>
      <c r="W919" t="b">
        <v>1</v>
      </c>
      <c r="X919">
        <v>55.236907730673302</v>
      </c>
    </row>
    <row r="920" spans="3:24" x14ac:dyDescent="0.35">
      <c r="C920" s="2" t="s">
        <v>83</v>
      </c>
      <c r="D920" s="3">
        <v>44561</v>
      </c>
      <c r="E920">
        <v>78.360770664606804</v>
      </c>
      <c r="F920">
        <v>58.676468738644402</v>
      </c>
      <c r="G920">
        <v>62.570656428574701</v>
      </c>
      <c r="H920">
        <v>63.246173630326901</v>
      </c>
      <c r="I920">
        <v>5888</v>
      </c>
      <c r="J920">
        <v>58.3333333333333</v>
      </c>
      <c r="K920">
        <v>12</v>
      </c>
      <c r="L920" t="b">
        <v>1</v>
      </c>
      <c r="M920" s="2" t="s">
        <v>100</v>
      </c>
      <c r="N920" s="2" t="s">
        <v>100</v>
      </c>
      <c r="O920" t="b">
        <v>1</v>
      </c>
      <c r="P920" s="2" t="s">
        <v>100</v>
      </c>
      <c r="Q920">
        <v>75.621147307915805</v>
      </c>
      <c r="R920" t="b">
        <v>0</v>
      </c>
      <c r="S920">
        <v>43.809523809523803</v>
      </c>
      <c r="T920" s="2" t="s">
        <v>100</v>
      </c>
      <c r="U920" s="2" t="s">
        <v>100</v>
      </c>
      <c r="V920" t="b">
        <v>1</v>
      </c>
      <c r="W920" t="b">
        <v>1</v>
      </c>
      <c r="X920">
        <v>57.123287671232802</v>
      </c>
    </row>
    <row r="921" spans="3:24" x14ac:dyDescent="0.35">
      <c r="C921" s="2" t="s">
        <v>83</v>
      </c>
      <c r="D921" s="3">
        <v>44196</v>
      </c>
      <c r="E921">
        <v>77.781325578682399</v>
      </c>
      <c r="F921">
        <v>62.828377683783799</v>
      </c>
      <c r="G921">
        <v>74.986975986975906</v>
      </c>
      <c r="H921">
        <v>70.590053541035402</v>
      </c>
      <c r="I921">
        <v>5344</v>
      </c>
      <c r="J921">
        <v>50</v>
      </c>
      <c r="K921">
        <v>11</v>
      </c>
      <c r="L921" t="b">
        <v>1</v>
      </c>
      <c r="M921" s="2" t="s">
        <v>100</v>
      </c>
      <c r="N921" s="2" t="s">
        <v>100</v>
      </c>
      <c r="O921" t="b">
        <v>1</v>
      </c>
      <c r="P921" s="2" t="s">
        <v>100</v>
      </c>
      <c r="Q921">
        <v>78.200069035947806</v>
      </c>
      <c r="R921" t="b">
        <v>0</v>
      </c>
      <c r="S921">
        <v>43.7735849056603</v>
      </c>
      <c r="T921" s="2" t="s">
        <v>100</v>
      </c>
      <c r="U921" s="2" t="s">
        <v>100</v>
      </c>
      <c r="V921" t="b">
        <v>1</v>
      </c>
      <c r="W921" t="b">
        <v>1</v>
      </c>
      <c r="X921">
        <v>59.908536585365802</v>
      </c>
    </row>
    <row r="922" spans="3:24" x14ac:dyDescent="0.35">
      <c r="C922" s="2" t="s">
        <v>83</v>
      </c>
      <c r="D922" s="3">
        <v>43830</v>
      </c>
      <c r="E922">
        <v>88.484232637114303</v>
      </c>
      <c r="F922">
        <v>59.7049901199521</v>
      </c>
      <c r="G922">
        <v>75.993879554246703</v>
      </c>
      <c r="H922">
        <v>70.046912852627798</v>
      </c>
      <c r="I922">
        <v>6828</v>
      </c>
      <c r="J922">
        <v>53.846153846153797</v>
      </c>
      <c r="K922">
        <v>10</v>
      </c>
      <c r="L922" t="b">
        <v>1</v>
      </c>
      <c r="M922">
        <v>391</v>
      </c>
      <c r="N922" s="2" t="s">
        <v>100</v>
      </c>
      <c r="O922" t="b">
        <v>1</v>
      </c>
      <c r="P922" s="2" t="s">
        <v>100</v>
      </c>
      <c r="Q922">
        <v>80.269779293880703</v>
      </c>
      <c r="R922" t="b">
        <v>0</v>
      </c>
      <c r="S922">
        <v>45.238095238095198</v>
      </c>
      <c r="T922" s="2" t="s">
        <v>100</v>
      </c>
      <c r="U922" s="2" t="s">
        <v>100</v>
      </c>
      <c r="V922" t="b">
        <v>1</v>
      </c>
      <c r="W922" t="b">
        <v>1</v>
      </c>
      <c r="X922">
        <v>58.305084745762699</v>
      </c>
    </row>
    <row r="923" spans="3:24" x14ac:dyDescent="0.35">
      <c r="C923" s="2" t="s">
        <v>83</v>
      </c>
      <c r="D923" s="3">
        <v>43465</v>
      </c>
      <c r="E923">
        <v>88.442485941499598</v>
      </c>
      <c r="F923">
        <v>54.772462548247702</v>
      </c>
      <c r="G923">
        <v>43.832515530660899</v>
      </c>
      <c r="H923">
        <v>53.1873159383209</v>
      </c>
      <c r="I923">
        <v>5713</v>
      </c>
      <c r="J923">
        <v>58.3333333333333</v>
      </c>
      <c r="K923">
        <v>11</v>
      </c>
      <c r="L923" t="b">
        <v>1</v>
      </c>
      <c r="M923" s="2" t="s">
        <v>100</v>
      </c>
      <c r="N923" s="2" t="s">
        <v>100</v>
      </c>
      <c r="O923" t="b">
        <v>1</v>
      </c>
      <c r="P923" s="2" t="s">
        <v>100</v>
      </c>
      <c r="Q923">
        <v>82.220517481419506</v>
      </c>
      <c r="R923" t="b">
        <v>0</v>
      </c>
      <c r="S923">
        <v>46.534653465346501</v>
      </c>
      <c r="T923" s="2" t="s">
        <v>100</v>
      </c>
      <c r="U923" s="2" t="s">
        <v>100</v>
      </c>
      <c r="V923" t="b">
        <v>1</v>
      </c>
      <c r="W923" t="b">
        <v>1</v>
      </c>
      <c r="X923">
        <v>59.677419354838698</v>
      </c>
    </row>
    <row r="924" spans="3:24" x14ac:dyDescent="0.35">
      <c r="C924" s="2" t="s">
        <v>83</v>
      </c>
      <c r="D924" s="3">
        <v>43100</v>
      </c>
      <c r="E924">
        <v>85.755075284513197</v>
      </c>
      <c r="F924">
        <v>54.574301942722997</v>
      </c>
      <c r="G924">
        <v>50.082984416216199</v>
      </c>
      <c r="H924">
        <v>55.516015198202197</v>
      </c>
      <c r="I924">
        <v>5340</v>
      </c>
      <c r="J924">
        <v>54.545454545454497</v>
      </c>
      <c r="K924">
        <v>11</v>
      </c>
      <c r="L924" t="b">
        <v>1</v>
      </c>
      <c r="M924" s="2" t="s">
        <v>100</v>
      </c>
      <c r="N924" s="2" t="s">
        <v>100</v>
      </c>
      <c r="O924" t="b">
        <v>1</v>
      </c>
      <c r="P924" s="2" t="s">
        <v>100</v>
      </c>
      <c r="Q924">
        <v>85.960763534790999</v>
      </c>
      <c r="R924" s="2" t="s">
        <v>100</v>
      </c>
      <c r="S924">
        <v>45.454545454545404</v>
      </c>
      <c r="T924" s="2" t="s">
        <v>100</v>
      </c>
      <c r="U924" s="2" t="s">
        <v>100</v>
      </c>
      <c r="V924" t="b">
        <v>1</v>
      </c>
      <c r="W924" t="b">
        <v>1</v>
      </c>
      <c r="X924">
        <v>63.738738738738697</v>
      </c>
    </row>
    <row r="925" spans="3:24" x14ac:dyDescent="0.35">
      <c r="C925" s="2" t="s">
        <v>83</v>
      </c>
      <c r="D925" s="3">
        <v>42735</v>
      </c>
      <c r="E925">
        <v>85.166028366302399</v>
      </c>
      <c r="F925">
        <v>48.177636829503903</v>
      </c>
      <c r="G925">
        <v>25.816222332615698</v>
      </c>
      <c r="H925">
        <v>41.586478003128398</v>
      </c>
      <c r="I925">
        <v>6313</v>
      </c>
      <c r="J925">
        <v>50</v>
      </c>
      <c r="K925">
        <v>10</v>
      </c>
      <c r="L925" t="b">
        <v>1</v>
      </c>
      <c r="M925" s="2" t="s">
        <v>100</v>
      </c>
      <c r="N925" s="2" t="s">
        <v>100</v>
      </c>
      <c r="O925" t="b">
        <v>1</v>
      </c>
      <c r="P925" s="2" t="s">
        <v>100</v>
      </c>
      <c r="Q925">
        <v>18.497865737530599</v>
      </c>
      <c r="R925" s="2" t="s">
        <v>100</v>
      </c>
      <c r="S925">
        <v>48.571428571428498</v>
      </c>
      <c r="T925" s="2" t="s">
        <v>100</v>
      </c>
      <c r="U925">
        <v>92</v>
      </c>
      <c r="V925" t="b">
        <v>1</v>
      </c>
      <c r="W925" t="b">
        <v>1</v>
      </c>
      <c r="X925">
        <v>63.315217391304301</v>
      </c>
    </row>
    <row r="926" spans="3:24" x14ac:dyDescent="0.35">
      <c r="C926" s="2" t="s">
        <v>83</v>
      </c>
      <c r="D926" s="3">
        <v>42369</v>
      </c>
      <c r="E926">
        <v>86.434407771987296</v>
      </c>
      <c r="F926">
        <v>49.838563281971098</v>
      </c>
      <c r="G926">
        <v>30.845942805951701</v>
      </c>
      <c r="H926">
        <v>44.717643898212799</v>
      </c>
      <c r="I926">
        <v>7034</v>
      </c>
      <c r="J926">
        <v>53.846153846153797</v>
      </c>
      <c r="K926">
        <v>12</v>
      </c>
      <c r="L926" t="b">
        <v>1</v>
      </c>
      <c r="M926" s="2" t="s">
        <v>100</v>
      </c>
      <c r="N926" s="2" t="s">
        <v>100</v>
      </c>
      <c r="O926" t="b">
        <v>1</v>
      </c>
      <c r="P926" s="2" t="s">
        <v>100</v>
      </c>
      <c r="Q926">
        <v>18.9460637435099</v>
      </c>
      <c r="R926" s="2" t="s">
        <v>100</v>
      </c>
      <c r="S926">
        <v>48.165137614678898</v>
      </c>
      <c r="T926" s="2" t="s">
        <v>100</v>
      </c>
      <c r="U926">
        <v>89</v>
      </c>
      <c r="V926" t="b">
        <v>1</v>
      </c>
      <c r="W926" t="b">
        <v>1</v>
      </c>
      <c r="X926">
        <v>67.378048780487802</v>
      </c>
    </row>
    <row r="927" spans="3:24" x14ac:dyDescent="0.35">
      <c r="C927" s="2" t="s">
        <v>84</v>
      </c>
      <c r="D927" s="3">
        <v>45747</v>
      </c>
      <c r="E927">
        <v>90.462753138087294</v>
      </c>
      <c r="F927">
        <v>65.922137185771206</v>
      </c>
      <c r="G927">
        <v>77.128182870370296</v>
      </c>
      <c r="H927">
        <v>78.749717817639194</v>
      </c>
      <c r="I927">
        <v>18846</v>
      </c>
      <c r="J927">
        <v>66.6666666666666</v>
      </c>
      <c r="K927">
        <v>10</v>
      </c>
      <c r="L927" t="b">
        <v>1</v>
      </c>
      <c r="M927">
        <v>138144</v>
      </c>
      <c r="N927" s="2" t="s">
        <v>100</v>
      </c>
      <c r="O927" t="b">
        <v>1</v>
      </c>
      <c r="P927">
        <v>8055</v>
      </c>
      <c r="Q927">
        <v>69.909916611739803</v>
      </c>
      <c r="R927" t="b">
        <v>0</v>
      </c>
      <c r="S927">
        <v>34.119106699751804</v>
      </c>
      <c r="T927">
        <v>7.0000000000000007E-2</v>
      </c>
      <c r="U927">
        <v>79</v>
      </c>
      <c r="V927" t="b">
        <v>1</v>
      </c>
      <c r="W927" t="b">
        <v>1</v>
      </c>
      <c r="X927">
        <v>51.913875598086101</v>
      </c>
    </row>
    <row r="928" spans="3:24" x14ac:dyDescent="0.35">
      <c r="C928" s="2" t="s">
        <v>84</v>
      </c>
      <c r="D928" s="3">
        <v>45382</v>
      </c>
      <c r="E928">
        <v>90.488233930228404</v>
      </c>
      <c r="F928">
        <v>57.992948255648301</v>
      </c>
      <c r="G928">
        <v>77.240549372902294</v>
      </c>
      <c r="H928">
        <v>76.398275970795893</v>
      </c>
      <c r="I928">
        <v>18199</v>
      </c>
      <c r="J928">
        <v>75</v>
      </c>
      <c r="K928">
        <v>12</v>
      </c>
      <c r="L928" t="b">
        <v>1</v>
      </c>
      <c r="M928">
        <v>95391</v>
      </c>
      <c r="N928" s="2" t="s">
        <v>100</v>
      </c>
      <c r="O928" t="b">
        <v>1</v>
      </c>
      <c r="P928">
        <v>11000</v>
      </c>
      <c r="Q928">
        <v>70.2374273937494</v>
      </c>
      <c r="R928" t="b">
        <v>0</v>
      </c>
      <c r="S928">
        <v>72.384428223844196</v>
      </c>
      <c r="T928">
        <v>0.18</v>
      </c>
      <c r="U928">
        <v>78</v>
      </c>
      <c r="V928" t="b">
        <v>1</v>
      </c>
      <c r="W928" t="b">
        <v>1</v>
      </c>
      <c r="X928">
        <v>51.990632318501099</v>
      </c>
    </row>
    <row r="929" spans="3:24" x14ac:dyDescent="0.35">
      <c r="C929" s="2" t="s">
        <v>84</v>
      </c>
      <c r="D929" s="3">
        <v>45016</v>
      </c>
      <c r="E929">
        <v>91.638209071385802</v>
      </c>
      <c r="F929">
        <v>60.689559980030701</v>
      </c>
      <c r="G929">
        <v>83.199614341451905</v>
      </c>
      <c r="H929">
        <v>79.564383046650306</v>
      </c>
      <c r="I929">
        <v>19764</v>
      </c>
      <c r="J929">
        <v>72.727272727272705</v>
      </c>
      <c r="K929">
        <v>10</v>
      </c>
      <c r="L929" t="b">
        <v>1</v>
      </c>
      <c r="M929">
        <v>215888</v>
      </c>
      <c r="N929" s="2" t="s">
        <v>100</v>
      </c>
      <c r="O929" t="b">
        <v>1</v>
      </c>
      <c r="P929">
        <v>8268.9</v>
      </c>
      <c r="Q929">
        <v>71.154811864450707</v>
      </c>
      <c r="R929" t="b">
        <v>0</v>
      </c>
      <c r="S929">
        <v>77.586206896551701</v>
      </c>
      <c r="T929">
        <v>0.06</v>
      </c>
      <c r="U929">
        <v>78</v>
      </c>
      <c r="V929" t="b">
        <v>1</v>
      </c>
      <c r="W929" t="b">
        <v>1</v>
      </c>
      <c r="X929">
        <v>52.132701421800903</v>
      </c>
    </row>
    <row r="930" spans="3:24" x14ac:dyDescent="0.35">
      <c r="C930" s="2" t="s">
        <v>84</v>
      </c>
      <c r="D930" s="3">
        <v>44651</v>
      </c>
      <c r="E930">
        <v>88.531464102771395</v>
      </c>
      <c r="F930">
        <v>53.4724486790169</v>
      </c>
      <c r="G930">
        <v>69.650588088088099</v>
      </c>
      <c r="H930">
        <v>71.852517252579005</v>
      </c>
      <c r="I930">
        <v>20186</v>
      </c>
      <c r="J930">
        <v>75</v>
      </c>
      <c r="K930">
        <v>12</v>
      </c>
      <c r="L930" t="b">
        <v>1</v>
      </c>
      <c r="M930">
        <v>218815</v>
      </c>
      <c r="N930" s="2" t="s">
        <v>100</v>
      </c>
      <c r="O930" t="b">
        <v>1</v>
      </c>
      <c r="P930">
        <v>7786.8</v>
      </c>
      <c r="Q930">
        <v>73.521960578472303</v>
      </c>
      <c r="R930" t="b">
        <v>0</v>
      </c>
      <c r="S930">
        <v>38.107416879795302</v>
      </c>
      <c r="T930">
        <v>0.17</v>
      </c>
      <c r="U930">
        <v>69</v>
      </c>
      <c r="V930" t="b">
        <v>1</v>
      </c>
      <c r="W930" t="b">
        <v>1</v>
      </c>
      <c r="X930">
        <v>54.146919431279599</v>
      </c>
    </row>
    <row r="931" spans="3:24" x14ac:dyDescent="0.35">
      <c r="C931" s="2" t="s">
        <v>84</v>
      </c>
      <c r="D931" s="3">
        <v>44286</v>
      </c>
      <c r="E931">
        <v>91.173902753352195</v>
      </c>
      <c r="F931">
        <v>52.9372576459768</v>
      </c>
      <c r="G931">
        <v>84.641323013986707</v>
      </c>
      <c r="H931">
        <v>77.510472742203305</v>
      </c>
      <c r="I931">
        <v>19098</v>
      </c>
      <c r="J931">
        <v>76.923076923076906</v>
      </c>
      <c r="K931">
        <v>11</v>
      </c>
      <c r="L931" t="b">
        <v>1</v>
      </c>
      <c r="M931">
        <v>80232</v>
      </c>
      <c r="N931" s="2" t="s">
        <v>100</v>
      </c>
      <c r="O931" t="b">
        <v>1</v>
      </c>
      <c r="P931">
        <v>9808</v>
      </c>
      <c r="Q931">
        <v>75.621147307915805</v>
      </c>
      <c r="R931" t="b">
        <v>0</v>
      </c>
      <c r="S931">
        <v>39.5415472779369</v>
      </c>
      <c r="T931">
        <v>0.1</v>
      </c>
      <c r="U931" s="2" t="s">
        <v>100</v>
      </c>
      <c r="V931" t="b">
        <v>1</v>
      </c>
      <c r="W931" t="b">
        <v>1</v>
      </c>
      <c r="X931">
        <v>53.877005347593503</v>
      </c>
    </row>
    <row r="932" spans="3:24" x14ac:dyDescent="0.35">
      <c r="C932" s="2" t="s">
        <v>84</v>
      </c>
      <c r="D932" s="3">
        <v>43921</v>
      </c>
      <c r="E932">
        <v>92.435700348142703</v>
      </c>
      <c r="F932">
        <v>71.606012861391505</v>
      </c>
      <c r="G932">
        <v>77.440781440781393</v>
      </c>
      <c r="H932">
        <v>81.309935431173102</v>
      </c>
      <c r="I932">
        <v>22070</v>
      </c>
      <c r="J932">
        <v>75</v>
      </c>
      <c r="K932">
        <v>11</v>
      </c>
      <c r="L932" t="b">
        <v>1</v>
      </c>
      <c r="M932">
        <v>89234</v>
      </c>
      <c r="N932" s="2" t="s">
        <v>100</v>
      </c>
      <c r="O932" t="b">
        <v>1</v>
      </c>
      <c r="P932">
        <v>13261.6</v>
      </c>
      <c r="Q932">
        <v>78.200069035947806</v>
      </c>
      <c r="R932" t="b">
        <v>0</v>
      </c>
      <c r="S932">
        <v>83.123028391167196</v>
      </c>
      <c r="T932">
        <v>0.04</v>
      </c>
      <c r="U932" s="2" t="s">
        <v>100</v>
      </c>
      <c r="V932" t="b">
        <v>1</v>
      </c>
      <c r="W932" t="b">
        <v>1</v>
      </c>
      <c r="X932">
        <v>56.179775280898802</v>
      </c>
    </row>
    <row r="933" spans="3:24" x14ac:dyDescent="0.35">
      <c r="C933" s="2" t="s">
        <v>84</v>
      </c>
      <c r="D933" s="3">
        <v>43555</v>
      </c>
      <c r="E933">
        <v>94.093283061025005</v>
      </c>
      <c r="F933">
        <v>72.493478304440501</v>
      </c>
      <c r="G933">
        <v>40.519198568046598</v>
      </c>
      <c r="H933">
        <v>70.312062644926797</v>
      </c>
      <c r="I933">
        <v>29144</v>
      </c>
      <c r="J933">
        <v>60</v>
      </c>
      <c r="K933">
        <v>14</v>
      </c>
      <c r="L933" t="b">
        <v>1</v>
      </c>
      <c r="M933">
        <v>67470</v>
      </c>
      <c r="N933" s="2" t="s">
        <v>100</v>
      </c>
      <c r="O933" t="b">
        <v>1</v>
      </c>
      <c r="P933">
        <v>8748</v>
      </c>
      <c r="Q933">
        <v>80.269779293880703</v>
      </c>
      <c r="R933" t="b">
        <v>0</v>
      </c>
      <c r="S933">
        <v>85.598705501618099</v>
      </c>
      <c r="T933">
        <v>0.12</v>
      </c>
      <c r="U933" s="2" t="s">
        <v>100</v>
      </c>
      <c r="V933" t="b">
        <v>1</v>
      </c>
      <c r="W933" t="b">
        <v>1</v>
      </c>
      <c r="X933">
        <v>55.393586005830898</v>
      </c>
    </row>
    <row r="934" spans="3:24" x14ac:dyDescent="0.35">
      <c r="C934" s="2" t="s">
        <v>84</v>
      </c>
      <c r="D934" s="3">
        <v>43190</v>
      </c>
      <c r="E934">
        <v>91.889852057327701</v>
      </c>
      <c r="F934">
        <v>75.314033628513201</v>
      </c>
      <c r="G934">
        <v>28.4238229144134</v>
      </c>
      <c r="H934">
        <v>66.442269659842495</v>
      </c>
      <c r="I934">
        <v>34268</v>
      </c>
      <c r="J934">
        <v>35.294117647058798</v>
      </c>
      <c r="K934">
        <v>14</v>
      </c>
      <c r="L934" t="b">
        <v>1</v>
      </c>
      <c r="M934">
        <v>98826.15</v>
      </c>
      <c r="N934" s="2" t="s">
        <v>100</v>
      </c>
      <c r="O934" t="b">
        <v>1</v>
      </c>
      <c r="P934">
        <v>9769.6</v>
      </c>
      <c r="Q934">
        <v>82.220517481419506</v>
      </c>
      <c r="R934" s="2" t="s">
        <v>100</v>
      </c>
      <c r="S934">
        <v>87.867647058823493</v>
      </c>
      <c r="T934">
        <v>0.13</v>
      </c>
      <c r="U934" s="2" t="s">
        <v>100</v>
      </c>
      <c r="V934" t="b">
        <v>1</v>
      </c>
      <c r="W934" t="b">
        <v>1</v>
      </c>
      <c r="X934">
        <v>57.305194805194802</v>
      </c>
    </row>
    <row r="935" spans="3:24" x14ac:dyDescent="0.35">
      <c r="C935" s="2" t="s">
        <v>84</v>
      </c>
      <c r="D935" s="4">
        <v>42825</v>
      </c>
      <c r="E935" s="2">
        <v>94.339438339438303</v>
      </c>
      <c r="F935" s="2">
        <v>77.443464209239707</v>
      </c>
      <c r="G935" s="2">
        <v>49.116548944038598</v>
      </c>
      <c r="H935" s="2">
        <v>74.669420952720003</v>
      </c>
      <c r="I935" s="2">
        <v>41758</v>
      </c>
      <c r="J935" s="2">
        <v>42.857142857142797</v>
      </c>
      <c r="K935">
        <v>13</v>
      </c>
      <c r="L935" t="b">
        <v>1</v>
      </c>
      <c r="M935">
        <v>96125</v>
      </c>
      <c r="N935" s="2" t="s">
        <v>100</v>
      </c>
      <c r="O935" t="b">
        <v>1</v>
      </c>
      <c r="P935">
        <v>8580</v>
      </c>
      <c r="Q935">
        <v>85.960763534790999</v>
      </c>
      <c r="R935" s="2" t="s">
        <v>100</v>
      </c>
      <c r="S935">
        <v>89.711934156378604</v>
      </c>
      <c r="T935">
        <v>0.08</v>
      </c>
      <c r="U935" s="2" t="s">
        <v>100</v>
      </c>
      <c r="V935" t="b">
        <v>1</v>
      </c>
      <c r="W935" t="b">
        <v>1</v>
      </c>
      <c r="X935">
        <v>58.510638297872298</v>
      </c>
    </row>
    <row r="936" spans="3:24" x14ac:dyDescent="0.35">
      <c r="C936" s="2" t="s">
        <v>84</v>
      </c>
      <c r="D936" s="3">
        <v>42460</v>
      </c>
      <c r="E936">
        <v>91.571019759254995</v>
      </c>
      <c r="F936">
        <v>80.618123648892094</v>
      </c>
      <c r="G936">
        <v>59.119749406634597</v>
      </c>
      <c r="H936">
        <v>77.810253916458905</v>
      </c>
      <c r="I936">
        <v>46638</v>
      </c>
      <c r="J936">
        <v>46.153846153846096</v>
      </c>
      <c r="K936">
        <v>13</v>
      </c>
      <c r="L936" t="b">
        <v>1</v>
      </c>
      <c r="M936">
        <v>151687</v>
      </c>
      <c r="N936" s="2" t="s">
        <v>100</v>
      </c>
      <c r="O936" t="b">
        <v>1</v>
      </c>
      <c r="P936">
        <v>9440</v>
      </c>
      <c r="Q936">
        <v>86.761782529177495</v>
      </c>
      <c r="R936" s="2" t="s">
        <v>100</v>
      </c>
      <c r="S936">
        <v>91.004184100418399</v>
      </c>
      <c r="T936">
        <v>0.14000000000000001</v>
      </c>
      <c r="U936" s="2" t="s">
        <v>100</v>
      </c>
      <c r="V936" t="b">
        <v>1</v>
      </c>
      <c r="W936" t="b">
        <v>1</v>
      </c>
      <c r="X936">
        <v>61.338289962825201</v>
      </c>
    </row>
    <row r="937" spans="3:24" x14ac:dyDescent="0.35">
      <c r="C937" s="2" t="s">
        <v>85</v>
      </c>
      <c r="D937" s="3">
        <v>45657</v>
      </c>
      <c r="E937">
        <v>69.094650205761297</v>
      </c>
      <c r="F937">
        <v>73.254612102638106</v>
      </c>
      <c r="G937">
        <v>75.689668426596498</v>
      </c>
      <c r="H937">
        <v>72.061019561593895</v>
      </c>
      <c r="I937">
        <v>1743538</v>
      </c>
      <c r="J937">
        <v>83.3333333333333</v>
      </c>
      <c r="K937">
        <v>11</v>
      </c>
      <c r="L937" t="b">
        <v>1</v>
      </c>
      <c r="M937">
        <v>16651</v>
      </c>
      <c r="N937" s="2" t="s">
        <v>100</v>
      </c>
      <c r="O937" t="b">
        <v>1</v>
      </c>
      <c r="P937">
        <v>173632</v>
      </c>
      <c r="Q937">
        <v>70.2374273937494</v>
      </c>
      <c r="R937" t="b">
        <v>0</v>
      </c>
      <c r="S937">
        <v>69.767441860465098</v>
      </c>
      <c r="T937">
        <v>1.9</v>
      </c>
      <c r="U937">
        <v>81</v>
      </c>
      <c r="V937" t="b">
        <v>1</v>
      </c>
      <c r="W937" t="b">
        <v>1</v>
      </c>
      <c r="X937">
        <v>52.2222222222222</v>
      </c>
    </row>
    <row r="938" spans="3:24" x14ac:dyDescent="0.35">
      <c r="C938" s="2" t="s">
        <v>85</v>
      </c>
      <c r="D938" s="3">
        <v>45291</v>
      </c>
      <c r="E938">
        <v>72.053872053871999</v>
      </c>
      <c r="F938">
        <v>71.620558964574897</v>
      </c>
      <c r="G938">
        <v>68.759765361014203</v>
      </c>
      <c r="H938">
        <v>71.129024308789198</v>
      </c>
      <c r="I938">
        <v>1695498</v>
      </c>
      <c r="J938">
        <v>76.923076923076906</v>
      </c>
      <c r="K938">
        <v>12</v>
      </c>
      <c r="L938" t="b">
        <v>1</v>
      </c>
      <c r="M938">
        <v>15161</v>
      </c>
      <c r="N938" s="2" t="s">
        <v>100</v>
      </c>
      <c r="O938" t="b">
        <v>1</v>
      </c>
      <c r="P938">
        <v>126084</v>
      </c>
      <c r="Q938">
        <v>71.154811864450707</v>
      </c>
      <c r="R938" t="b">
        <v>0</v>
      </c>
      <c r="S938">
        <v>71.951219512195095</v>
      </c>
      <c r="T938">
        <v>2.2000000000000002</v>
      </c>
      <c r="U938">
        <v>77</v>
      </c>
      <c r="V938" t="b">
        <v>1</v>
      </c>
      <c r="W938" t="b">
        <v>1</v>
      </c>
      <c r="X938">
        <v>53.409090909090899</v>
      </c>
    </row>
    <row r="939" spans="3:24" x14ac:dyDescent="0.35">
      <c r="C939" s="2" t="s">
        <v>85</v>
      </c>
      <c r="D939" s="3">
        <v>44926</v>
      </c>
      <c r="E939">
        <v>68.686955689539602</v>
      </c>
      <c r="F939">
        <v>64.6462109139364</v>
      </c>
      <c r="G939">
        <v>80.9168543543543</v>
      </c>
      <c r="H939">
        <v>70.207781946181299</v>
      </c>
      <c r="I939">
        <v>2022695</v>
      </c>
      <c r="J939">
        <v>81.818181818181799</v>
      </c>
      <c r="K939">
        <v>9</v>
      </c>
      <c r="L939" t="b">
        <v>0</v>
      </c>
      <c r="M939">
        <v>18686</v>
      </c>
      <c r="N939" s="2" t="s">
        <v>100</v>
      </c>
      <c r="O939" t="b">
        <v>1</v>
      </c>
      <c r="P939" s="2" t="s">
        <v>100</v>
      </c>
      <c r="Q939">
        <v>73.521960578472303</v>
      </c>
      <c r="R939" t="b">
        <v>0</v>
      </c>
      <c r="S939">
        <v>72.619047619047606</v>
      </c>
      <c r="T939">
        <v>3.35</v>
      </c>
      <c r="U939">
        <v>73</v>
      </c>
      <c r="V939" t="b">
        <v>1</v>
      </c>
      <c r="W939" t="b">
        <v>1</v>
      </c>
      <c r="X939">
        <v>53.3333333333333</v>
      </c>
    </row>
    <row r="940" spans="3:24" x14ac:dyDescent="0.35">
      <c r="C940" s="2" t="s">
        <v>85</v>
      </c>
      <c r="D940" s="3">
        <v>44561</v>
      </c>
      <c r="E940">
        <v>68.734191508581702</v>
      </c>
      <c r="F940">
        <v>62.551573969611397</v>
      </c>
      <c r="G940">
        <v>73.127969898259707</v>
      </c>
      <c r="H940">
        <v>67.678764717358106</v>
      </c>
      <c r="I940">
        <v>1038545</v>
      </c>
      <c r="J940">
        <v>70</v>
      </c>
      <c r="K940">
        <v>8</v>
      </c>
      <c r="L940" t="b">
        <v>1</v>
      </c>
      <c r="M940">
        <v>18060</v>
      </c>
      <c r="N940" s="2" t="s">
        <v>100</v>
      </c>
      <c r="O940" t="b">
        <v>1</v>
      </c>
      <c r="P940" s="2" t="s">
        <v>100</v>
      </c>
      <c r="Q940">
        <v>75.621147307915805</v>
      </c>
      <c r="R940" t="b">
        <v>0</v>
      </c>
      <c r="S940">
        <v>78.205128205128204</v>
      </c>
      <c r="T940">
        <v>3.6</v>
      </c>
      <c r="U940" s="2" t="s">
        <v>100</v>
      </c>
      <c r="V940" t="b">
        <v>1</v>
      </c>
      <c r="W940" t="b">
        <v>1</v>
      </c>
      <c r="X940">
        <v>53.658536585365802</v>
      </c>
    </row>
    <row r="941" spans="3:24" x14ac:dyDescent="0.35">
      <c r="C941" s="2" t="s">
        <v>85</v>
      </c>
      <c r="D941" s="3">
        <v>44196</v>
      </c>
      <c r="E941">
        <v>62.078864578864497</v>
      </c>
      <c r="F941">
        <v>62.702547891000201</v>
      </c>
      <c r="G941">
        <v>83.901098901098806</v>
      </c>
      <c r="H941">
        <v>67.444891445705906</v>
      </c>
      <c r="I941">
        <v>1953860</v>
      </c>
      <c r="J941">
        <v>60</v>
      </c>
      <c r="K941">
        <v>9</v>
      </c>
      <c r="L941" t="b">
        <v>1</v>
      </c>
      <c r="M941">
        <v>26963</v>
      </c>
      <c r="N941" s="2" t="s">
        <v>100</v>
      </c>
      <c r="O941" t="b">
        <v>1</v>
      </c>
      <c r="P941" s="2" t="s">
        <v>100</v>
      </c>
      <c r="Q941">
        <v>78.200069035947806</v>
      </c>
      <c r="R941" t="b">
        <v>0</v>
      </c>
      <c r="S941">
        <v>81.428571428571402</v>
      </c>
      <c r="T941">
        <v>3.6</v>
      </c>
      <c r="U941" s="2" t="s">
        <v>100</v>
      </c>
      <c r="V941" t="b">
        <v>1</v>
      </c>
      <c r="W941" t="b">
        <v>1</v>
      </c>
      <c r="X941">
        <v>54.054054054053999</v>
      </c>
    </row>
    <row r="942" spans="3:24" x14ac:dyDescent="0.35">
      <c r="C942" s="2" t="s">
        <v>85</v>
      </c>
      <c r="D942" s="3">
        <v>43830</v>
      </c>
      <c r="E942">
        <v>59.645061728395099</v>
      </c>
      <c r="F942">
        <v>60.7302103745332</v>
      </c>
      <c r="G942">
        <v>57.438189271897897</v>
      </c>
      <c r="H942">
        <v>59.491165807836097</v>
      </c>
      <c r="I942">
        <v>1346789</v>
      </c>
      <c r="J942">
        <v>53.3333333333333</v>
      </c>
      <c r="K942">
        <v>12</v>
      </c>
      <c r="L942" t="b">
        <v>1</v>
      </c>
      <c r="M942">
        <v>25506</v>
      </c>
      <c r="N942" s="2" t="s">
        <v>100</v>
      </c>
      <c r="O942" t="b">
        <v>1</v>
      </c>
      <c r="P942" s="2" t="s">
        <v>100</v>
      </c>
      <c r="Q942">
        <v>80.269779293880703</v>
      </c>
      <c r="R942" s="2" t="s">
        <v>100</v>
      </c>
      <c r="S942">
        <v>83.823529411764696</v>
      </c>
      <c r="T942">
        <v>2.9</v>
      </c>
      <c r="U942" s="2" t="s">
        <v>100</v>
      </c>
      <c r="V942" t="b">
        <v>1</v>
      </c>
      <c r="W942" t="b">
        <v>1</v>
      </c>
      <c r="X942">
        <v>58.108108108108098</v>
      </c>
    </row>
    <row r="943" spans="3:24" x14ac:dyDescent="0.35">
      <c r="C943" s="2" t="s">
        <v>85</v>
      </c>
      <c r="D943" s="3">
        <v>43465</v>
      </c>
      <c r="E943">
        <v>63.472043472043403</v>
      </c>
      <c r="F943">
        <v>65.369083943880099</v>
      </c>
      <c r="G943">
        <v>45.8456383224988</v>
      </c>
      <c r="H943">
        <v>59.950630761827902</v>
      </c>
      <c r="I943">
        <v>1720278</v>
      </c>
      <c r="J943">
        <v>42.857142857142797</v>
      </c>
      <c r="K943">
        <v>12</v>
      </c>
      <c r="L943" t="b">
        <v>1</v>
      </c>
      <c r="M943">
        <v>26137</v>
      </c>
      <c r="N943" s="2" t="s">
        <v>100</v>
      </c>
      <c r="O943" t="b">
        <v>1</v>
      </c>
      <c r="P943" s="2" t="s">
        <v>100</v>
      </c>
      <c r="Q943">
        <v>82.220517481419506</v>
      </c>
      <c r="R943" s="2" t="s">
        <v>100</v>
      </c>
      <c r="S943">
        <v>77.941176470588204</v>
      </c>
      <c r="T943">
        <v>2.4500000000000002</v>
      </c>
      <c r="U943" s="2" t="s">
        <v>100</v>
      </c>
      <c r="V943" t="b">
        <v>1</v>
      </c>
      <c r="W943" t="b">
        <v>1</v>
      </c>
      <c r="X943">
        <v>60.5263157894736</v>
      </c>
    </row>
    <row r="944" spans="3:24" x14ac:dyDescent="0.35">
      <c r="C944" s="2" t="s">
        <v>85</v>
      </c>
      <c r="D944" s="3">
        <v>43100</v>
      </c>
      <c r="E944">
        <v>69.256756756756701</v>
      </c>
      <c r="F944">
        <v>55.744223611428502</v>
      </c>
      <c r="G944">
        <v>55.711283188453002</v>
      </c>
      <c r="H944">
        <v>61.481928943384801</v>
      </c>
      <c r="I944">
        <v>4103348</v>
      </c>
      <c r="J944">
        <v>58.3333333333333</v>
      </c>
      <c r="K944">
        <v>12</v>
      </c>
      <c r="L944" t="b">
        <v>1</v>
      </c>
      <c r="M944">
        <v>51362</v>
      </c>
      <c r="N944" s="2" t="s">
        <v>100</v>
      </c>
      <c r="O944" t="b">
        <v>1</v>
      </c>
      <c r="P944" s="2" t="s">
        <v>100</v>
      </c>
      <c r="Q944">
        <v>85.960763534790999</v>
      </c>
      <c r="R944" s="2" t="s">
        <v>100</v>
      </c>
      <c r="S944">
        <v>80.882352941176407</v>
      </c>
      <c r="T944">
        <v>1.8</v>
      </c>
      <c r="U944" s="2" t="s">
        <v>100</v>
      </c>
      <c r="V944" t="b">
        <v>1</v>
      </c>
      <c r="W944" t="b">
        <v>1</v>
      </c>
      <c r="X944">
        <v>61.842105263157897</v>
      </c>
    </row>
    <row r="945" spans="3:24" x14ac:dyDescent="0.35">
      <c r="C945" s="2" t="s">
        <v>85</v>
      </c>
      <c r="D945" s="3">
        <v>42735</v>
      </c>
      <c r="E945">
        <v>75.241744207261405</v>
      </c>
      <c r="F945">
        <v>56.467929723743602</v>
      </c>
      <c r="G945">
        <v>46.3640503394601</v>
      </c>
      <c r="H945">
        <v>62.063753350369197</v>
      </c>
      <c r="I945">
        <v>5073321</v>
      </c>
      <c r="J945">
        <v>57.142857142857103</v>
      </c>
      <c r="K945">
        <v>12</v>
      </c>
      <c r="L945" t="b">
        <v>1</v>
      </c>
      <c r="M945">
        <v>37497</v>
      </c>
      <c r="N945" s="2" t="s">
        <v>100</v>
      </c>
      <c r="O945" t="b">
        <v>1</v>
      </c>
      <c r="P945" s="2" t="s">
        <v>100</v>
      </c>
      <c r="Q945">
        <v>86.761782529177495</v>
      </c>
      <c r="R945" s="2" t="s">
        <v>100</v>
      </c>
      <c r="S945">
        <v>78.571428571428498</v>
      </c>
      <c r="T945">
        <v>1.5</v>
      </c>
      <c r="U945">
        <v>71.832999999999998</v>
      </c>
      <c r="V945" t="b">
        <v>1</v>
      </c>
      <c r="W945" t="b">
        <v>1</v>
      </c>
      <c r="X945">
        <v>63.8888888888888</v>
      </c>
    </row>
    <row r="946" spans="3:24" x14ac:dyDescent="0.35">
      <c r="C946" s="2" t="s">
        <v>85</v>
      </c>
      <c r="D946" s="3">
        <v>42369</v>
      </c>
      <c r="E946">
        <v>76.639631610219794</v>
      </c>
      <c r="F946">
        <v>72.111144669284201</v>
      </c>
      <c r="G946">
        <v>40.007068770034003</v>
      </c>
      <c r="H946">
        <v>66.453003077418103</v>
      </c>
      <c r="I946">
        <v>4391095</v>
      </c>
      <c r="J946">
        <v>45.454545454545404</v>
      </c>
      <c r="K946">
        <v>11</v>
      </c>
      <c r="L946" t="b">
        <v>0</v>
      </c>
      <c r="M946">
        <v>43053</v>
      </c>
      <c r="N946" s="2" t="s">
        <v>100</v>
      </c>
      <c r="O946" t="b">
        <v>1</v>
      </c>
      <c r="P946" s="2" t="s">
        <v>100</v>
      </c>
      <c r="Q946">
        <v>87.208323109393802</v>
      </c>
      <c r="R946" s="2" t="s">
        <v>100</v>
      </c>
      <c r="S946">
        <v>95.454545454545396</v>
      </c>
      <c r="T946">
        <v>1.7</v>
      </c>
      <c r="U946">
        <v>80.667000000000002</v>
      </c>
      <c r="V946" t="b">
        <v>1</v>
      </c>
      <c r="W946" t="b">
        <v>1</v>
      </c>
      <c r="X946">
        <v>66.176470588235205</v>
      </c>
    </row>
    <row r="947" spans="3:24" x14ac:dyDescent="0.35">
      <c r="C947" s="2" t="s">
        <v>86</v>
      </c>
      <c r="D947" s="3">
        <v>45747</v>
      </c>
      <c r="E947">
        <v>65.115847791181906</v>
      </c>
      <c r="F947">
        <v>52.989923307485299</v>
      </c>
      <c r="G947">
        <v>51.748218201754298</v>
      </c>
      <c r="H947">
        <v>57.145446066957099</v>
      </c>
      <c r="I947">
        <v>270</v>
      </c>
      <c r="J947">
        <v>70</v>
      </c>
      <c r="K947">
        <v>10</v>
      </c>
      <c r="L947" t="b">
        <v>1</v>
      </c>
      <c r="M947" s="2" t="s">
        <v>100</v>
      </c>
      <c r="N947" s="2" t="s">
        <v>100</v>
      </c>
      <c r="O947" t="b">
        <v>1</v>
      </c>
      <c r="P947">
        <v>522</v>
      </c>
      <c r="Q947">
        <v>69.909916611739803</v>
      </c>
      <c r="R947" t="b">
        <v>0</v>
      </c>
      <c r="S947">
        <v>73.573200992555797</v>
      </c>
      <c r="T947">
        <v>0</v>
      </c>
      <c r="U947">
        <v>96</v>
      </c>
      <c r="V947" t="b">
        <v>1</v>
      </c>
      <c r="W947" t="b">
        <v>1</v>
      </c>
      <c r="X947">
        <v>51.913875598086101</v>
      </c>
    </row>
    <row r="948" spans="3:24" x14ac:dyDescent="0.35">
      <c r="C948" s="2" t="s">
        <v>86</v>
      </c>
      <c r="D948" s="3">
        <v>45382</v>
      </c>
      <c r="E948">
        <v>60.119833033987298</v>
      </c>
      <c r="F948">
        <v>57.415008753913902</v>
      </c>
      <c r="G948">
        <v>26.613917839408</v>
      </c>
      <c r="H948">
        <v>48.513070890236499</v>
      </c>
      <c r="I948">
        <v>218</v>
      </c>
      <c r="J948">
        <v>61.538461538461497</v>
      </c>
      <c r="K948">
        <v>10</v>
      </c>
      <c r="L948" t="b">
        <v>1</v>
      </c>
      <c r="M948" s="2" t="s">
        <v>100</v>
      </c>
      <c r="N948" s="2" t="s">
        <v>100</v>
      </c>
      <c r="O948" t="b">
        <v>1</v>
      </c>
      <c r="P948">
        <v>378</v>
      </c>
      <c r="Q948">
        <v>70.2374273937494</v>
      </c>
      <c r="R948" t="b">
        <v>0</v>
      </c>
      <c r="S948">
        <v>76.642335766423301</v>
      </c>
      <c r="T948">
        <v>0</v>
      </c>
      <c r="U948">
        <v>97</v>
      </c>
      <c r="V948" t="b">
        <v>1</v>
      </c>
      <c r="W948" t="b">
        <v>1</v>
      </c>
      <c r="X948">
        <v>51.990632318501099</v>
      </c>
    </row>
    <row r="949" spans="3:24" x14ac:dyDescent="0.35">
      <c r="C949" s="2" t="s">
        <v>86</v>
      </c>
      <c r="D949" s="3">
        <v>45016</v>
      </c>
      <c r="E949">
        <v>57.263737550620299</v>
      </c>
      <c r="F949">
        <v>52.072357427263498</v>
      </c>
      <c r="G949">
        <v>22.0657061245821</v>
      </c>
      <c r="H949">
        <v>44.360358485264001</v>
      </c>
      <c r="I949">
        <v>150</v>
      </c>
      <c r="J949">
        <v>63.636363636363598</v>
      </c>
      <c r="K949">
        <v>11</v>
      </c>
      <c r="L949" t="b">
        <v>1</v>
      </c>
      <c r="M949" s="2" t="s">
        <v>100</v>
      </c>
      <c r="N949" s="2" t="s">
        <v>100</v>
      </c>
      <c r="O949" t="b">
        <v>1</v>
      </c>
      <c r="P949">
        <v>304.5</v>
      </c>
      <c r="Q949">
        <v>71.154811864450707</v>
      </c>
      <c r="R949" t="b">
        <v>0</v>
      </c>
      <c r="S949">
        <v>78.448275862068897</v>
      </c>
      <c r="T949">
        <v>0</v>
      </c>
      <c r="U949" s="2" t="s">
        <v>100</v>
      </c>
      <c r="V949" t="b">
        <v>0</v>
      </c>
      <c r="W949" t="b">
        <v>1</v>
      </c>
      <c r="X949">
        <v>52.132701421800903</v>
      </c>
    </row>
    <row r="950" spans="3:24" x14ac:dyDescent="0.35">
      <c r="C950" s="2" t="s">
        <v>86</v>
      </c>
      <c r="D950" s="3">
        <v>44651</v>
      </c>
      <c r="E950">
        <v>63.385771086110601</v>
      </c>
      <c r="F950">
        <v>56.620110298297398</v>
      </c>
      <c r="G950">
        <v>41.2234109109109</v>
      </c>
      <c r="H950">
        <v>54.203979485616202</v>
      </c>
      <c r="I950">
        <v>175</v>
      </c>
      <c r="J950">
        <v>66.6666666666666</v>
      </c>
      <c r="K950">
        <v>9</v>
      </c>
      <c r="L950" t="b">
        <v>1</v>
      </c>
      <c r="M950" s="2" t="s">
        <v>100</v>
      </c>
      <c r="N950" s="2" t="s">
        <v>100</v>
      </c>
      <c r="O950" t="b">
        <v>1</v>
      </c>
      <c r="P950">
        <v>175</v>
      </c>
      <c r="Q950">
        <v>73.521960578472303</v>
      </c>
      <c r="R950" t="b">
        <v>0</v>
      </c>
      <c r="S950">
        <v>79.795396419437296</v>
      </c>
      <c r="T950" s="2" t="s">
        <v>100</v>
      </c>
      <c r="U950" s="2" t="s">
        <v>100</v>
      </c>
      <c r="V950" t="b">
        <v>0</v>
      </c>
      <c r="W950" t="b">
        <v>1</v>
      </c>
      <c r="X950">
        <v>54.146919431279599</v>
      </c>
    </row>
    <row r="951" spans="3:24" x14ac:dyDescent="0.35">
      <c r="C951" s="2" t="s">
        <v>86</v>
      </c>
      <c r="D951" s="3">
        <v>44286</v>
      </c>
      <c r="E951">
        <v>57.235835040718101</v>
      </c>
      <c r="F951">
        <v>55.819467344606601</v>
      </c>
      <c r="G951">
        <v>45.130515357919101</v>
      </c>
      <c r="H951">
        <v>52.909674605035299</v>
      </c>
      <c r="I951">
        <v>175</v>
      </c>
      <c r="J951">
        <v>66.6666666666666</v>
      </c>
      <c r="K951">
        <v>9</v>
      </c>
      <c r="L951" t="b">
        <v>1</v>
      </c>
      <c r="M951" s="2" t="s">
        <v>100</v>
      </c>
      <c r="N951" s="2" t="s">
        <v>100</v>
      </c>
      <c r="O951" t="b">
        <v>1</v>
      </c>
      <c r="P951">
        <v>235.6</v>
      </c>
      <c r="Q951">
        <v>75.621147307915805</v>
      </c>
      <c r="R951" s="2" t="s">
        <v>100</v>
      </c>
      <c r="S951">
        <v>80.515759312320895</v>
      </c>
      <c r="T951" s="2" t="s">
        <v>100</v>
      </c>
      <c r="U951" s="2" t="s">
        <v>100</v>
      </c>
      <c r="V951" t="b">
        <v>0</v>
      </c>
      <c r="W951" t="b">
        <v>1</v>
      </c>
      <c r="X951">
        <v>53.877005347593503</v>
      </c>
    </row>
    <row r="952" spans="3:24" x14ac:dyDescent="0.35">
      <c r="C952" s="2" t="s">
        <v>86</v>
      </c>
      <c r="D952" s="3">
        <v>43921</v>
      </c>
      <c r="E952">
        <v>19.262749912519499</v>
      </c>
      <c r="F952">
        <v>20.1695413189228</v>
      </c>
      <c r="G952">
        <v>10.614977614977599</v>
      </c>
      <c r="H952">
        <v>16.7522825317048</v>
      </c>
      <c r="I952">
        <v>169</v>
      </c>
      <c r="J952">
        <v>50</v>
      </c>
      <c r="K952">
        <v>8</v>
      </c>
      <c r="L952" t="b">
        <v>0</v>
      </c>
      <c r="M952" s="2" t="s">
        <v>100</v>
      </c>
      <c r="N952" s="2" t="s">
        <v>100</v>
      </c>
      <c r="O952" t="b">
        <v>0</v>
      </c>
      <c r="P952">
        <v>334</v>
      </c>
      <c r="Q952">
        <v>78.200069035947806</v>
      </c>
      <c r="R952" s="2" t="s">
        <v>100</v>
      </c>
      <c r="S952">
        <v>0.78864353312302804</v>
      </c>
      <c r="T952" s="2" t="s">
        <v>100</v>
      </c>
      <c r="U952" s="2" t="s">
        <v>100</v>
      </c>
      <c r="V952" t="b">
        <v>0</v>
      </c>
      <c r="W952" t="b">
        <v>0</v>
      </c>
      <c r="X952">
        <v>0</v>
      </c>
    </row>
    <row r="953" spans="3:24" x14ac:dyDescent="0.35">
      <c r="C953" s="2" t="s">
        <v>86</v>
      </c>
      <c r="D953" s="3">
        <v>43555</v>
      </c>
      <c r="E953">
        <v>78.232369780756798</v>
      </c>
      <c r="F953">
        <v>58.384459021845402</v>
      </c>
      <c r="G953">
        <v>38.504763554477698</v>
      </c>
      <c r="H953">
        <v>59.439407278098003</v>
      </c>
      <c r="I953">
        <v>297</v>
      </c>
      <c r="J953">
        <v>58.3333333333333</v>
      </c>
      <c r="K953">
        <v>12</v>
      </c>
      <c r="L953" t="b">
        <v>1</v>
      </c>
      <c r="M953" s="2" t="s">
        <v>100</v>
      </c>
      <c r="N953" s="2" t="s">
        <v>100</v>
      </c>
      <c r="O953" t="b">
        <v>1</v>
      </c>
      <c r="P953">
        <v>800</v>
      </c>
      <c r="Q953">
        <v>80.269779293880703</v>
      </c>
      <c r="R953" s="2" t="s">
        <v>100</v>
      </c>
      <c r="S953">
        <v>85.275080906148801</v>
      </c>
      <c r="T953" s="2" t="s">
        <v>100</v>
      </c>
      <c r="U953" s="2" t="s">
        <v>100</v>
      </c>
      <c r="V953" t="b">
        <v>0</v>
      </c>
      <c r="W953" t="b">
        <v>1</v>
      </c>
      <c r="X953">
        <v>55.393586005830898</v>
      </c>
    </row>
    <row r="954" spans="3:24" x14ac:dyDescent="0.35">
      <c r="C954" s="2" t="s">
        <v>86</v>
      </c>
      <c r="D954" s="3">
        <v>43190</v>
      </c>
      <c r="E954">
        <v>77.328225577012006</v>
      </c>
      <c r="F954">
        <v>38.255353244040997</v>
      </c>
      <c r="G954">
        <v>27.729923987992901</v>
      </c>
      <c r="H954">
        <v>49.544666166823099</v>
      </c>
      <c r="I954">
        <v>958</v>
      </c>
      <c r="J954">
        <v>58.3333333333333</v>
      </c>
      <c r="K954">
        <v>11</v>
      </c>
      <c r="L954" t="b">
        <v>1</v>
      </c>
      <c r="M954">
        <v>44</v>
      </c>
      <c r="N954" s="2" t="s">
        <v>100</v>
      </c>
      <c r="O954" t="b">
        <v>1</v>
      </c>
      <c r="P954">
        <v>758</v>
      </c>
      <c r="Q954">
        <v>82.220517481419506</v>
      </c>
      <c r="R954" s="2" t="s">
        <v>100</v>
      </c>
      <c r="S954">
        <v>1.47058823529411</v>
      </c>
      <c r="T954">
        <v>0</v>
      </c>
      <c r="U954" s="2" t="s">
        <v>100</v>
      </c>
      <c r="V954" t="b">
        <v>0</v>
      </c>
      <c r="W954" t="b">
        <v>1</v>
      </c>
      <c r="X954">
        <v>0</v>
      </c>
    </row>
    <row r="955" spans="3:24" x14ac:dyDescent="0.35">
      <c r="C955" s="2" t="s">
        <v>86</v>
      </c>
      <c r="D955" s="3">
        <v>42825</v>
      </c>
      <c r="E955">
        <v>78.120704692133202</v>
      </c>
      <c r="F955">
        <v>34.639837689692897</v>
      </c>
      <c r="G955">
        <v>19.430940387717101</v>
      </c>
      <c r="H955">
        <v>46.077012208756997</v>
      </c>
      <c r="I955">
        <v>2058</v>
      </c>
      <c r="J955">
        <v>58.3333333333333</v>
      </c>
      <c r="K955">
        <v>11</v>
      </c>
      <c r="L955" t="b">
        <v>1</v>
      </c>
      <c r="M955">
        <v>105</v>
      </c>
      <c r="N955" s="2" t="s">
        <v>100</v>
      </c>
      <c r="O955" t="b">
        <v>1</v>
      </c>
      <c r="P955">
        <v>480</v>
      </c>
      <c r="Q955">
        <v>85.960763534790999</v>
      </c>
      <c r="R955" s="2" t="s">
        <v>100</v>
      </c>
      <c r="S955">
        <v>0</v>
      </c>
      <c r="T955">
        <v>0</v>
      </c>
      <c r="U955" s="2" t="s">
        <v>100</v>
      </c>
      <c r="V955" t="b">
        <v>0</v>
      </c>
      <c r="W955" t="b">
        <v>1</v>
      </c>
      <c r="X955">
        <v>0</v>
      </c>
    </row>
    <row r="956" spans="3:24" x14ac:dyDescent="0.35">
      <c r="C956" s="2" t="s">
        <v>86</v>
      </c>
      <c r="D956" s="3">
        <v>42460</v>
      </c>
      <c r="E956">
        <v>71.983041865394796</v>
      </c>
      <c r="F956">
        <v>27.581488033510201</v>
      </c>
      <c r="G956">
        <v>18.601175691339598</v>
      </c>
      <c r="H956">
        <v>41.370164389690899</v>
      </c>
      <c r="I956">
        <v>2405</v>
      </c>
      <c r="J956">
        <v>54.545454545454497</v>
      </c>
      <c r="K956">
        <v>11</v>
      </c>
      <c r="L956" t="b">
        <v>0</v>
      </c>
      <c r="M956">
        <v>99</v>
      </c>
      <c r="N956" s="2" t="s">
        <v>100</v>
      </c>
      <c r="O956" t="b">
        <v>1</v>
      </c>
      <c r="P956" s="2" t="s">
        <v>100</v>
      </c>
      <c r="Q956">
        <v>86.761782529177495</v>
      </c>
      <c r="R956" s="2" t="s">
        <v>100</v>
      </c>
      <c r="S956">
        <v>0</v>
      </c>
      <c r="T956" s="2" t="s">
        <v>100</v>
      </c>
      <c r="U956" s="2" t="s">
        <v>100</v>
      </c>
      <c r="V956" t="b">
        <v>0</v>
      </c>
      <c r="W956" t="b">
        <v>1</v>
      </c>
      <c r="X956">
        <v>0</v>
      </c>
    </row>
    <row r="957" spans="3:24" x14ac:dyDescent="0.35">
      <c r="C957" s="2" t="s">
        <v>87</v>
      </c>
      <c r="D957" s="3">
        <v>45717</v>
      </c>
      <c r="E957">
        <v>78.585852551691303</v>
      </c>
      <c r="F957">
        <v>63.066324311645801</v>
      </c>
      <c r="G957">
        <v>75.984329312865498</v>
      </c>
      <c r="H957">
        <v>70.529586123079696</v>
      </c>
      <c r="I957">
        <v>697187</v>
      </c>
      <c r="J957">
        <v>70</v>
      </c>
      <c r="K957">
        <v>10</v>
      </c>
      <c r="L957" t="b">
        <v>1</v>
      </c>
      <c r="M957">
        <v>41784</v>
      </c>
      <c r="N957" s="2" t="s">
        <v>100</v>
      </c>
      <c r="O957" t="b">
        <v>1</v>
      </c>
      <c r="P957" s="2" t="s">
        <v>100</v>
      </c>
      <c r="Q957">
        <v>69.909916611739803</v>
      </c>
      <c r="R957" t="b">
        <v>1</v>
      </c>
      <c r="S957">
        <v>84.814814814814795</v>
      </c>
      <c r="T957" s="2" t="s">
        <v>100</v>
      </c>
      <c r="U957">
        <v>78</v>
      </c>
      <c r="V957" t="b">
        <v>1</v>
      </c>
      <c r="W957" t="b">
        <v>1</v>
      </c>
      <c r="X957">
        <v>54.255319148936103</v>
      </c>
    </row>
    <row r="958" spans="3:24" x14ac:dyDescent="0.35">
      <c r="C958" s="2" t="s">
        <v>87</v>
      </c>
      <c r="D958" s="3">
        <v>45353</v>
      </c>
      <c r="E958">
        <v>78.411196710654096</v>
      </c>
      <c r="F958">
        <v>59.075144820444201</v>
      </c>
      <c r="G958">
        <v>77.833748781461196</v>
      </c>
      <c r="H958">
        <v>69.158516645605104</v>
      </c>
      <c r="I958">
        <v>706115.19</v>
      </c>
      <c r="J958">
        <v>70</v>
      </c>
      <c r="K958">
        <v>9</v>
      </c>
      <c r="L958" t="b">
        <v>1</v>
      </c>
      <c r="M958">
        <v>41285</v>
      </c>
      <c r="N958" s="2" t="s">
        <v>100</v>
      </c>
      <c r="O958" t="b">
        <v>1</v>
      </c>
      <c r="P958" s="2" t="s">
        <v>100</v>
      </c>
      <c r="Q958">
        <v>70.2374273937494</v>
      </c>
      <c r="R958" t="b">
        <v>0</v>
      </c>
      <c r="S958">
        <v>73.161764705882305</v>
      </c>
      <c r="T958" s="2" t="s">
        <v>100</v>
      </c>
      <c r="U958">
        <v>79</v>
      </c>
      <c r="V958" t="b">
        <v>1</v>
      </c>
      <c r="W958" t="b">
        <v>1</v>
      </c>
      <c r="X958">
        <v>55.244755244755197</v>
      </c>
    </row>
    <row r="959" spans="3:24" x14ac:dyDescent="0.35">
      <c r="C959" s="2" t="s">
        <v>87</v>
      </c>
      <c r="D959" s="3">
        <v>44989</v>
      </c>
      <c r="E959">
        <v>88.786260834936499</v>
      </c>
      <c r="F959">
        <v>67.969447979865805</v>
      </c>
      <c r="G959">
        <v>82.162300975860305</v>
      </c>
      <c r="H959">
        <v>77.056738635200105</v>
      </c>
      <c r="I959">
        <v>696089.8</v>
      </c>
      <c r="J959">
        <v>80</v>
      </c>
      <c r="K959">
        <v>9</v>
      </c>
      <c r="L959" t="b">
        <v>1</v>
      </c>
      <c r="M959">
        <v>35509</v>
      </c>
      <c r="N959" s="2" t="s">
        <v>100</v>
      </c>
      <c r="O959" t="b">
        <v>1</v>
      </c>
      <c r="P959" s="2" t="s">
        <v>100</v>
      </c>
      <c r="Q959">
        <v>71.154811864450707</v>
      </c>
      <c r="R959" t="b">
        <v>0</v>
      </c>
      <c r="S959">
        <v>90.225563909774394</v>
      </c>
      <c r="T959" s="2" t="s">
        <v>100</v>
      </c>
      <c r="U959">
        <v>77</v>
      </c>
      <c r="V959" t="b">
        <v>1</v>
      </c>
      <c r="W959" t="b">
        <v>1</v>
      </c>
      <c r="X959">
        <v>56.3829787234042</v>
      </c>
    </row>
    <row r="960" spans="3:24" x14ac:dyDescent="0.35">
      <c r="C960" s="2" t="s">
        <v>87</v>
      </c>
      <c r="D960" s="3">
        <v>44625</v>
      </c>
      <c r="E960">
        <v>92.491415574627695</v>
      </c>
      <c r="F960">
        <v>70.704733771677198</v>
      </c>
      <c r="G960">
        <v>78.837962962962905</v>
      </c>
      <c r="H960">
        <v>78.235443156384804</v>
      </c>
      <c r="I960">
        <v>775867.36</v>
      </c>
      <c r="J960">
        <v>80</v>
      </c>
      <c r="K960">
        <v>9</v>
      </c>
      <c r="L960" t="b">
        <v>1</v>
      </c>
      <c r="M960">
        <v>35474</v>
      </c>
      <c r="N960" s="2" t="s">
        <v>100</v>
      </c>
      <c r="O960" t="b">
        <v>1</v>
      </c>
      <c r="P960" s="2" t="s">
        <v>100</v>
      </c>
      <c r="Q960">
        <v>73.521960578472303</v>
      </c>
      <c r="R960" t="b">
        <v>0</v>
      </c>
      <c r="S960">
        <v>90.769230769230703</v>
      </c>
      <c r="T960" s="2" t="s">
        <v>100</v>
      </c>
      <c r="U960">
        <v>78</v>
      </c>
      <c r="V960" t="b">
        <v>1</v>
      </c>
      <c r="W960" t="b">
        <v>1</v>
      </c>
      <c r="X960">
        <v>57.092198581560197</v>
      </c>
    </row>
    <row r="961" spans="3:24" x14ac:dyDescent="0.35">
      <c r="C961" s="2" t="s">
        <v>87</v>
      </c>
      <c r="D961" s="3">
        <v>44261</v>
      </c>
      <c r="E961">
        <v>90.969553015302395</v>
      </c>
      <c r="F961">
        <v>71.297791375126295</v>
      </c>
      <c r="G961">
        <v>68.999606227235006</v>
      </c>
      <c r="H961">
        <v>75.256973616640096</v>
      </c>
      <c r="I961">
        <v>855188.57</v>
      </c>
      <c r="J961">
        <v>75</v>
      </c>
      <c r="K961">
        <v>9</v>
      </c>
      <c r="L961" t="b">
        <v>1</v>
      </c>
      <c r="M961">
        <v>36338</v>
      </c>
      <c r="N961" s="2" t="s">
        <v>100</v>
      </c>
      <c r="O961" t="b">
        <v>1</v>
      </c>
      <c r="P961" s="2" t="s">
        <v>100</v>
      </c>
      <c r="Q961">
        <v>75.621147307915805</v>
      </c>
      <c r="R961" s="2" t="s">
        <v>100</v>
      </c>
      <c r="S961">
        <v>89.024390243902403</v>
      </c>
      <c r="T961" s="2" t="s">
        <v>100</v>
      </c>
      <c r="U961">
        <v>81</v>
      </c>
      <c r="V961" t="b">
        <v>1</v>
      </c>
      <c r="W961" t="b">
        <v>1</v>
      </c>
      <c r="X961">
        <v>58.148148148148103</v>
      </c>
    </row>
    <row r="962" spans="3:24" x14ac:dyDescent="0.35">
      <c r="C962" s="2" t="s">
        <v>87</v>
      </c>
      <c r="D962" s="3">
        <v>43897</v>
      </c>
      <c r="E962">
        <v>24.4420077972709</v>
      </c>
      <c r="F962">
        <v>4.7574376842669501</v>
      </c>
      <c r="G962">
        <v>16.4562474562474</v>
      </c>
      <c r="H962">
        <v>12.8431395749855</v>
      </c>
      <c r="I962">
        <v>917624</v>
      </c>
      <c r="J962">
        <v>72.727272727272705</v>
      </c>
      <c r="K962">
        <v>9</v>
      </c>
      <c r="L962" t="b">
        <v>1</v>
      </c>
      <c r="M962" s="2" t="s">
        <v>100</v>
      </c>
      <c r="N962" s="2" t="s">
        <v>100</v>
      </c>
      <c r="O962" t="b">
        <v>0</v>
      </c>
      <c r="P962" s="2" t="s">
        <v>100</v>
      </c>
      <c r="Q962">
        <v>78.200069035947806</v>
      </c>
      <c r="R962" s="2" t="s">
        <v>100</v>
      </c>
      <c r="S962">
        <v>0</v>
      </c>
      <c r="T962" s="2" t="s">
        <v>100</v>
      </c>
      <c r="U962">
        <v>75</v>
      </c>
      <c r="V962" t="b">
        <v>0</v>
      </c>
      <c r="W962" t="b">
        <v>0</v>
      </c>
      <c r="X962">
        <v>0</v>
      </c>
    </row>
    <row r="963" spans="3:24" x14ac:dyDescent="0.35">
      <c r="C963" s="2" t="s">
        <v>87</v>
      </c>
      <c r="D963" s="3">
        <v>43533</v>
      </c>
      <c r="E963">
        <v>48.221009036144501</v>
      </c>
      <c r="F963">
        <v>52.599142554383903</v>
      </c>
      <c r="G963">
        <v>69.837865927593896</v>
      </c>
      <c r="H963">
        <v>56.645818463633198</v>
      </c>
      <c r="I963">
        <v>1014707</v>
      </c>
      <c r="J963">
        <v>70</v>
      </c>
      <c r="K963">
        <v>10</v>
      </c>
      <c r="L963" t="b">
        <v>1</v>
      </c>
      <c r="M963" s="2" t="s">
        <v>100</v>
      </c>
      <c r="N963" s="2" t="s">
        <v>100</v>
      </c>
      <c r="O963" t="b">
        <v>1</v>
      </c>
      <c r="P963" s="2" t="s">
        <v>100</v>
      </c>
      <c r="Q963">
        <v>80.269779293880703</v>
      </c>
      <c r="R963" s="2" t="s">
        <v>100</v>
      </c>
      <c r="S963">
        <v>93.085106382978694</v>
      </c>
      <c r="T963" s="2" t="s">
        <v>100</v>
      </c>
      <c r="U963">
        <v>69</v>
      </c>
      <c r="V963" t="b">
        <v>1</v>
      </c>
      <c r="W963" t="b">
        <v>1</v>
      </c>
      <c r="X963">
        <v>62.019230769230703</v>
      </c>
    </row>
    <row r="964" spans="3:24" x14ac:dyDescent="0.35">
      <c r="C964" s="2" t="s">
        <v>87</v>
      </c>
      <c r="D964" s="3">
        <v>43169</v>
      </c>
      <c r="E964">
        <v>44.584810636583398</v>
      </c>
      <c r="F964">
        <v>50.430830931407598</v>
      </c>
      <c r="G964">
        <v>83.625389452432699</v>
      </c>
      <c r="H964">
        <v>58.832129804287803</v>
      </c>
      <c r="I964">
        <v>1177863</v>
      </c>
      <c r="J964">
        <v>72.727272727272705</v>
      </c>
      <c r="K964">
        <v>10</v>
      </c>
      <c r="L964" t="b">
        <v>1</v>
      </c>
      <c r="M964" s="2" t="s">
        <v>100</v>
      </c>
      <c r="N964" s="2" t="s">
        <v>100</v>
      </c>
      <c r="O964" t="b">
        <v>1</v>
      </c>
      <c r="P964" s="2" t="s">
        <v>100</v>
      </c>
      <c r="Q964">
        <v>82.220517481419506</v>
      </c>
      <c r="R964" s="2" t="s">
        <v>100</v>
      </c>
      <c r="S964">
        <v>94.578313253011999</v>
      </c>
      <c r="T964" s="2" t="s">
        <v>100</v>
      </c>
      <c r="U964">
        <v>72</v>
      </c>
      <c r="V964" t="b">
        <v>1</v>
      </c>
      <c r="W964" t="b">
        <v>1</v>
      </c>
      <c r="X964">
        <v>60.9890109890109</v>
      </c>
    </row>
    <row r="965" spans="3:24" x14ac:dyDescent="0.35">
      <c r="C965" s="2" t="s">
        <v>87</v>
      </c>
      <c r="D965" s="3">
        <v>42805</v>
      </c>
      <c r="E965">
        <v>44.287322855419802</v>
      </c>
      <c r="F965">
        <v>52.341129006159598</v>
      </c>
      <c r="G965">
        <v>66.5006742188625</v>
      </c>
      <c r="H965">
        <v>54.614402414637503</v>
      </c>
      <c r="I965">
        <v>1372294</v>
      </c>
      <c r="J965">
        <v>63.636363636363598</v>
      </c>
      <c r="K965">
        <v>10</v>
      </c>
      <c r="L965" t="b">
        <v>1</v>
      </c>
      <c r="M965" s="2" t="s">
        <v>100</v>
      </c>
      <c r="N965" s="2" t="s">
        <v>100</v>
      </c>
      <c r="O965" t="b">
        <v>1</v>
      </c>
      <c r="P965" s="2" t="s">
        <v>100</v>
      </c>
      <c r="Q965">
        <v>85.960763534790999</v>
      </c>
      <c r="R965" s="2" t="s">
        <v>100</v>
      </c>
      <c r="S965">
        <v>95.394736842105203</v>
      </c>
      <c r="T965" s="2" t="s">
        <v>100</v>
      </c>
      <c r="U965">
        <v>77</v>
      </c>
      <c r="V965" t="b">
        <v>1</v>
      </c>
      <c r="W965" t="b">
        <v>1</v>
      </c>
      <c r="X965">
        <v>64.705882352941103</v>
      </c>
    </row>
    <row r="966" spans="3:24" x14ac:dyDescent="0.35">
      <c r="C966" s="2" t="s">
        <v>87</v>
      </c>
      <c r="D966" s="3">
        <v>42441</v>
      </c>
      <c r="E966">
        <v>58.930621009425302</v>
      </c>
      <c r="F966">
        <v>62.8404690815021</v>
      </c>
      <c r="G966">
        <v>75.412181928575393</v>
      </c>
      <c r="H966">
        <v>65.622613418808399</v>
      </c>
      <c r="I966">
        <v>1475251</v>
      </c>
      <c r="J966">
        <v>70</v>
      </c>
      <c r="K966">
        <v>9</v>
      </c>
      <c r="L966" t="b">
        <v>1</v>
      </c>
      <c r="M966" s="2" t="s">
        <v>100</v>
      </c>
      <c r="N966" s="2" t="s">
        <v>100</v>
      </c>
      <c r="O966" t="b">
        <v>1</v>
      </c>
      <c r="P966" s="2" t="s">
        <v>100</v>
      </c>
      <c r="Q966">
        <v>86.761782529177495</v>
      </c>
      <c r="R966" s="2" t="s">
        <v>100</v>
      </c>
      <c r="S966">
        <v>89.864864864864799</v>
      </c>
      <c r="T966" s="2" t="s">
        <v>100</v>
      </c>
      <c r="U966">
        <v>78</v>
      </c>
      <c r="V966" t="b">
        <v>1</v>
      </c>
      <c r="W966" t="b">
        <v>1</v>
      </c>
      <c r="X966">
        <v>0</v>
      </c>
    </row>
    <row r="967" spans="3:24" x14ac:dyDescent="0.35">
      <c r="C967" s="2" t="s">
        <v>87</v>
      </c>
      <c r="D967" s="3">
        <v>43921</v>
      </c>
      <c r="E967" s="2" t="s">
        <v>100</v>
      </c>
      <c r="F967" s="2" t="s">
        <v>100</v>
      </c>
      <c r="G967" s="2" t="s">
        <v>100</v>
      </c>
      <c r="H967" s="2" t="s">
        <v>100</v>
      </c>
      <c r="I967" s="2" t="s">
        <v>100</v>
      </c>
      <c r="J967" s="2" t="s">
        <v>100</v>
      </c>
      <c r="K967" s="2" t="s">
        <v>100</v>
      </c>
      <c r="L967" s="2" t="s">
        <v>100</v>
      </c>
      <c r="M967" s="2" t="s">
        <v>100</v>
      </c>
      <c r="N967" s="2" t="s">
        <v>100</v>
      </c>
      <c r="O967" s="2" t="s">
        <v>100</v>
      </c>
      <c r="P967" s="2" t="s">
        <v>100</v>
      </c>
      <c r="Q967" s="2" t="s">
        <v>100</v>
      </c>
      <c r="R967" s="2" t="s">
        <v>100</v>
      </c>
      <c r="S967" s="2" t="s">
        <v>100</v>
      </c>
      <c r="T967" s="2" t="s">
        <v>100</v>
      </c>
      <c r="U967" s="2" t="s">
        <v>100</v>
      </c>
      <c r="V967" s="2" t="s">
        <v>100</v>
      </c>
      <c r="W967" s="2" t="s">
        <v>100</v>
      </c>
      <c r="X967" s="2" t="s">
        <v>100</v>
      </c>
    </row>
    <row r="968" spans="3:24" x14ac:dyDescent="0.35">
      <c r="C968" s="2" t="s">
        <v>87</v>
      </c>
      <c r="D968" s="3">
        <v>43555</v>
      </c>
      <c r="E968" s="2" t="s">
        <v>100</v>
      </c>
      <c r="F968" s="2" t="s">
        <v>100</v>
      </c>
      <c r="G968" s="2" t="s">
        <v>100</v>
      </c>
      <c r="H968" s="2" t="s">
        <v>100</v>
      </c>
      <c r="I968" s="2" t="s">
        <v>100</v>
      </c>
      <c r="J968" s="2" t="s">
        <v>100</v>
      </c>
      <c r="K968" s="2" t="s">
        <v>100</v>
      </c>
      <c r="L968" s="2" t="s">
        <v>100</v>
      </c>
      <c r="M968" s="2" t="s">
        <v>100</v>
      </c>
      <c r="N968" s="2" t="s">
        <v>100</v>
      </c>
      <c r="O968" s="2" t="s">
        <v>100</v>
      </c>
      <c r="P968" s="2" t="s">
        <v>100</v>
      </c>
      <c r="Q968" s="2" t="s">
        <v>100</v>
      </c>
      <c r="R968" s="2" t="s">
        <v>100</v>
      </c>
      <c r="S968" s="2" t="s">
        <v>100</v>
      </c>
      <c r="T968" s="2" t="s">
        <v>100</v>
      </c>
      <c r="U968" s="2" t="s">
        <v>100</v>
      </c>
      <c r="V968" s="2" t="s">
        <v>100</v>
      </c>
      <c r="W968" s="2" t="s">
        <v>100</v>
      </c>
      <c r="X968" s="2" t="s">
        <v>100</v>
      </c>
    </row>
    <row r="969" spans="3:24" x14ac:dyDescent="0.35">
      <c r="C969" s="2" t="s">
        <v>87</v>
      </c>
      <c r="D969" s="3">
        <v>43190</v>
      </c>
      <c r="E969" s="2" t="s">
        <v>100</v>
      </c>
      <c r="F969" s="2" t="s">
        <v>100</v>
      </c>
      <c r="G969" s="2" t="s">
        <v>100</v>
      </c>
      <c r="H969" s="2" t="s">
        <v>100</v>
      </c>
      <c r="I969" s="2" t="s">
        <v>100</v>
      </c>
      <c r="J969" s="2" t="s">
        <v>100</v>
      </c>
      <c r="K969" s="2" t="s">
        <v>100</v>
      </c>
      <c r="L969" s="2" t="s">
        <v>100</v>
      </c>
      <c r="M969" s="2" t="s">
        <v>100</v>
      </c>
      <c r="N969" s="2" t="s">
        <v>100</v>
      </c>
      <c r="O969" s="2" t="s">
        <v>100</v>
      </c>
      <c r="P969" s="2" t="s">
        <v>100</v>
      </c>
      <c r="Q969" s="2" t="s">
        <v>100</v>
      </c>
      <c r="R969" s="2" t="s">
        <v>100</v>
      </c>
      <c r="S969" s="2" t="s">
        <v>100</v>
      </c>
      <c r="T969" s="2" t="s">
        <v>100</v>
      </c>
      <c r="U969" s="2" t="s">
        <v>100</v>
      </c>
      <c r="V969" s="2" t="s">
        <v>100</v>
      </c>
      <c r="W969" s="2" t="s">
        <v>100</v>
      </c>
      <c r="X969" s="2" t="s">
        <v>100</v>
      </c>
    </row>
    <row r="970" spans="3:24" x14ac:dyDescent="0.35">
      <c r="C970" s="2" t="s">
        <v>87</v>
      </c>
      <c r="D970" s="3">
        <v>42825</v>
      </c>
      <c r="E970" s="2" t="s">
        <v>100</v>
      </c>
      <c r="F970" s="2" t="s">
        <v>100</v>
      </c>
      <c r="G970" s="2" t="s">
        <v>100</v>
      </c>
      <c r="H970" s="2" t="s">
        <v>100</v>
      </c>
      <c r="I970" s="2" t="s">
        <v>100</v>
      </c>
      <c r="J970" s="2" t="s">
        <v>100</v>
      </c>
      <c r="K970" s="2" t="s">
        <v>100</v>
      </c>
      <c r="L970" s="2" t="s">
        <v>100</v>
      </c>
      <c r="M970" s="2" t="s">
        <v>100</v>
      </c>
      <c r="N970" s="2" t="s">
        <v>100</v>
      </c>
      <c r="O970" s="2" t="s">
        <v>100</v>
      </c>
      <c r="P970" s="2" t="s">
        <v>100</v>
      </c>
      <c r="Q970" s="2" t="s">
        <v>100</v>
      </c>
      <c r="R970" s="2" t="s">
        <v>100</v>
      </c>
      <c r="S970" s="2" t="s">
        <v>100</v>
      </c>
      <c r="T970" s="2" t="s">
        <v>100</v>
      </c>
      <c r="U970" s="2" t="s">
        <v>100</v>
      </c>
      <c r="V970" s="2" t="s">
        <v>100</v>
      </c>
      <c r="W970" s="2" t="s">
        <v>100</v>
      </c>
      <c r="X970" s="2" t="s">
        <v>100</v>
      </c>
    </row>
    <row r="971" spans="3:24" x14ac:dyDescent="0.35">
      <c r="C971" s="2" t="s">
        <v>87</v>
      </c>
      <c r="D971" s="3">
        <v>42460</v>
      </c>
      <c r="E971" s="2" t="s">
        <v>100</v>
      </c>
      <c r="F971" s="2" t="s">
        <v>100</v>
      </c>
      <c r="G971" s="2" t="s">
        <v>100</v>
      </c>
      <c r="H971" s="2" t="s">
        <v>100</v>
      </c>
      <c r="I971" s="2" t="s">
        <v>100</v>
      </c>
      <c r="J971" s="2" t="s">
        <v>100</v>
      </c>
      <c r="K971" s="2" t="s">
        <v>100</v>
      </c>
      <c r="L971" s="2" t="s">
        <v>100</v>
      </c>
      <c r="M971" s="2" t="s">
        <v>100</v>
      </c>
      <c r="N971" s="2" t="s">
        <v>100</v>
      </c>
      <c r="O971" s="2" t="s">
        <v>100</v>
      </c>
      <c r="P971" s="2" t="s">
        <v>100</v>
      </c>
      <c r="Q971" s="2" t="s">
        <v>100</v>
      </c>
      <c r="R971" s="2" t="s">
        <v>100</v>
      </c>
      <c r="S971" s="2" t="s">
        <v>100</v>
      </c>
      <c r="T971" s="2" t="s">
        <v>100</v>
      </c>
      <c r="U971" s="2" t="s">
        <v>100</v>
      </c>
      <c r="V971" s="2" t="s">
        <v>100</v>
      </c>
      <c r="W971" s="2" t="s">
        <v>100</v>
      </c>
      <c r="X971" s="2" t="s">
        <v>100</v>
      </c>
    </row>
    <row r="972" spans="3:24" x14ac:dyDescent="0.35">
      <c r="C972" s="2" t="s">
        <v>87</v>
      </c>
      <c r="D972" s="3">
        <v>44286</v>
      </c>
      <c r="E972" s="2" t="s">
        <v>100</v>
      </c>
      <c r="F972" s="2" t="s">
        <v>100</v>
      </c>
      <c r="G972" s="2" t="s">
        <v>100</v>
      </c>
      <c r="H972" s="2" t="s">
        <v>100</v>
      </c>
      <c r="I972" s="2" t="s">
        <v>100</v>
      </c>
      <c r="J972" s="2" t="s">
        <v>100</v>
      </c>
      <c r="K972" s="2" t="s">
        <v>100</v>
      </c>
      <c r="L972" s="2" t="s">
        <v>100</v>
      </c>
      <c r="M972" s="2" t="s">
        <v>100</v>
      </c>
      <c r="N972" s="2" t="s">
        <v>100</v>
      </c>
      <c r="O972" s="2" t="s">
        <v>100</v>
      </c>
      <c r="P972" s="2" t="s">
        <v>100</v>
      </c>
      <c r="Q972" s="2" t="s">
        <v>100</v>
      </c>
      <c r="R972" s="2" t="s">
        <v>100</v>
      </c>
      <c r="S972" s="2" t="s">
        <v>100</v>
      </c>
      <c r="T972" s="2" t="s">
        <v>100</v>
      </c>
      <c r="U972" s="2" t="s">
        <v>100</v>
      </c>
      <c r="V972" s="2" t="s">
        <v>100</v>
      </c>
      <c r="W972" s="2" t="s">
        <v>100</v>
      </c>
      <c r="X972" s="2" t="s">
        <v>100</v>
      </c>
    </row>
    <row r="973" spans="3:24" x14ac:dyDescent="0.35">
      <c r="C973" s="2" t="s">
        <v>88</v>
      </c>
      <c r="D973" s="3">
        <v>45777</v>
      </c>
      <c r="E973">
        <v>19.1944444444444</v>
      </c>
      <c r="F973">
        <v>43.039512966498101</v>
      </c>
      <c r="G973">
        <v>34.186845151072099</v>
      </c>
      <c r="H973">
        <v>36.014003873172499</v>
      </c>
      <c r="I973">
        <v>0</v>
      </c>
      <c r="J973">
        <v>100</v>
      </c>
      <c r="K973">
        <v>6</v>
      </c>
      <c r="L973" t="b">
        <v>0</v>
      </c>
      <c r="M973" s="2" t="s">
        <v>100</v>
      </c>
      <c r="N973" s="2" t="s">
        <v>100</v>
      </c>
      <c r="O973" s="2" t="s">
        <v>100</v>
      </c>
      <c r="P973" s="2" t="s">
        <v>100</v>
      </c>
      <c r="Q973">
        <v>69.909916611739803</v>
      </c>
      <c r="R973" t="b">
        <v>0</v>
      </c>
      <c r="S973">
        <v>50</v>
      </c>
      <c r="T973" s="2" t="s">
        <v>100</v>
      </c>
      <c r="U973" s="2" t="s">
        <v>100</v>
      </c>
      <c r="V973" t="b">
        <v>0</v>
      </c>
      <c r="W973" t="b">
        <v>1</v>
      </c>
      <c r="X973">
        <v>57.803468208092397</v>
      </c>
    </row>
    <row r="974" spans="3:24" x14ac:dyDescent="0.35">
      <c r="C974" s="2" t="s">
        <v>88</v>
      </c>
      <c r="D974" s="3">
        <v>45412</v>
      </c>
      <c r="E974">
        <v>8.8383838383838196</v>
      </c>
      <c r="F974">
        <v>39.074861065707701</v>
      </c>
      <c r="G974">
        <v>25.206153866284499</v>
      </c>
      <c r="H974">
        <v>28.802997237398699</v>
      </c>
      <c r="I974">
        <v>0</v>
      </c>
      <c r="J974">
        <v>100</v>
      </c>
      <c r="K974">
        <v>6</v>
      </c>
      <c r="L974" t="b">
        <v>0</v>
      </c>
      <c r="M974" s="2" t="s">
        <v>100</v>
      </c>
      <c r="N974" s="2" t="s">
        <v>100</v>
      </c>
      <c r="O974" s="2" t="s">
        <v>100</v>
      </c>
      <c r="P974" s="2" t="s">
        <v>100</v>
      </c>
      <c r="Q974">
        <v>70.2374273937494</v>
      </c>
      <c r="R974" t="b">
        <v>0</v>
      </c>
      <c r="S974">
        <v>50</v>
      </c>
      <c r="T974" s="2" t="s">
        <v>100</v>
      </c>
      <c r="U974" s="2" t="s">
        <v>100</v>
      </c>
      <c r="V974" t="b">
        <v>0</v>
      </c>
      <c r="W974" t="b">
        <v>1</v>
      </c>
      <c r="X974">
        <v>54.347826086956502</v>
      </c>
    </row>
    <row r="975" spans="3:24" x14ac:dyDescent="0.35">
      <c r="C975" s="2" t="s">
        <v>88</v>
      </c>
      <c r="D975" s="3">
        <v>45046</v>
      </c>
      <c r="E975">
        <v>0</v>
      </c>
      <c r="F975">
        <v>41.337840725845602</v>
      </c>
      <c r="G975">
        <v>27.762369457284699</v>
      </c>
      <c r="H975">
        <v>30.0720897388215</v>
      </c>
      <c r="I975">
        <v>0</v>
      </c>
      <c r="J975">
        <v>100</v>
      </c>
      <c r="K975">
        <v>6</v>
      </c>
      <c r="L975" t="b">
        <v>0</v>
      </c>
      <c r="M975" s="2" t="s">
        <v>100</v>
      </c>
      <c r="N975" s="2" t="s">
        <v>100</v>
      </c>
      <c r="O975" s="2" t="s">
        <v>100</v>
      </c>
      <c r="P975" s="2" t="s">
        <v>100</v>
      </c>
      <c r="Q975">
        <v>71.154811864450707</v>
      </c>
      <c r="R975" t="b">
        <v>0</v>
      </c>
      <c r="S975">
        <v>50</v>
      </c>
      <c r="T975" s="2" t="s">
        <v>100</v>
      </c>
      <c r="U975" s="2" t="s">
        <v>100</v>
      </c>
      <c r="V975" t="b">
        <v>0</v>
      </c>
      <c r="W975" t="b">
        <v>1</v>
      </c>
      <c r="X975">
        <v>55.092592592592503</v>
      </c>
    </row>
    <row r="976" spans="3:24" x14ac:dyDescent="0.35">
      <c r="C976" s="2" t="s">
        <v>88</v>
      </c>
      <c r="D976" s="3">
        <v>44681</v>
      </c>
      <c r="E976">
        <v>0</v>
      </c>
      <c r="F976">
        <v>43.456413310503997</v>
      </c>
      <c r="G976">
        <v>29.109797297297298</v>
      </c>
      <c r="H976">
        <v>31.574402532408399</v>
      </c>
      <c r="I976">
        <v>0</v>
      </c>
      <c r="J976">
        <v>100</v>
      </c>
      <c r="K976">
        <v>7</v>
      </c>
      <c r="L976" t="b">
        <v>0</v>
      </c>
      <c r="M976" s="2" t="s">
        <v>100</v>
      </c>
      <c r="N976" s="2" t="s">
        <v>100</v>
      </c>
      <c r="O976" s="2" t="s">
        <v>100</v>
      </c>
      <c r="P976" s="2" t="s">
        <v>100</v>
      </c>
      <c r="Q976">
        <v>73.521960578472303</v>
      </c>
      <c r="R976" t="b">
        <v>0</v>
      </c>
      <c r="S976">
        <v>50</v>
      </c>
      <c r="T976" s="2" t="s">
        <v>100</v>
      </c>
      <c r="U976" s="2" t="s">
        <v>100</v>
      </c>
      <c r="V976" t="b">
        <v>0</v>
      </c>
      <c r="W976" t="b">
        <v>1</v>
      </c>
      <c r="X976">
        <v>54.950495049504902</v>
      </c>
    </row>
    <row r="977" spans="3:24" x14ac:dyDescent="0.35">
      <c r="C977" s="2" t="s">
        <v>88</v>
      </c>
      <c r="D977" s="3">
        <v>44316</v>
      </c>
      <c r="E977">
        <v>11.249999999999901</v>
      </c>
      <c r="F977">
        <v>48.8461938255777</v>
      </c>
      <c r="G977">
        <v>24.8693205700954</v>
      </c>
      <c r="H977">
        <v>32.601780749051599</v>
      </c>
      <c r="I977">
        <v>0</v>
      </c>
      <c r="J977">
        <v>100</v>
      </c>
      <c r="K977">
        <v>5</v>
      </c>
      <c r="L977" t="b">
        <v>0</v>
      </c>
      <c r="M977" s="2" t="s">
        <v>100</v>
      </c>
      <c r="N977" s="2" t="s">
        <v>100</v>
      </c>
      <c r="O977" s="2" t="s">
        <v>100</v>
      </c>
      <c r="P977" s="2" t="s">
        <v>100</v>
      </c>
      <c r="Q977">
        <v>75.621147307915805</v>
      </c>
      <c r="R977" s="2" t="s">
        <v>100</v>
      </c>
      <c r="S977">
        <v>50</v>
      </c>
      <c r="T977" s="2" t="s">
        <v>100</v>
      </c>
      <c r="U977" s="2" t="s">
        <v>100</v>
      </c>
      <c r="V977" t="b">
        <v>0</v>
      </c>
      <c r="W977" t="b">
        <v>1</v>
      </c>
      <c r="X977">
        <v>57.692307692307601</v>
      </c>
    </row>
    <row r="978" spans="3:24" x14ac:dyDescent="0.35">
      <c r="C978" s="2" t="s">
        <v>88</v>
      </c>
      <c r="D978" s="3">
        <v>43951</v>
      </c>
      <c r="E978">
        <v>11.8279569892473</v>
      </c>
      <c r="F978">
        <v>54.407385986333303</v>
      </c>
      <c r="G978">
        <v>24.351648351648301</v>
      </c>
      <c r="H978">
        <v>34.5137120088594</v>
      </c>
      <c r="I978">
        <v>0</v>
      </c>
      <c r="J978">
        <v>100</v>
      </c>
      <c r="K978">
        <v>6</v>
      </c>
      <c r="L978" t="b">
        <v>0</v>
      </c>
      <c r="M978" s="2" t="s">
        <v>100</v>
      </c>
      <c r="N978" s="2" t="s">
        <v>100</v>
      </c>
      <c r="O978" s="2" t="s">
        <v>100</v>
      </c>
      <c r="P978" s="2" t="s">
        <v>100</v>
      </c>
      <c r="Q978">
        <v>78.200069035947806</v>
      </c>
      <c r="R978" s="2" t="s">
        <v>100</v>
      </c>
      <c r="S978">
        <v>50</v>
      </c>
      <c r="T978" s="2" t="s">
        <v>100</v>
      </c>
      <c r="U978" s="2" t="s">
        <v>100</v>
      </c>
      <c r="V978" t="b">
        <v>0</v>
      </c>
      <c r="W978" t="b">
        <v>1</v>
      </c>
      <c r="X978">
        <v>61.1111111111111</v>
      </c>
    </row>
    <row r="979" spans="3:24" x14ac:dyDescent="0.35">
      <c r="C979" s="2" t="s">
        <v>88</v>
      </c>
      <c r="D979" s="3">
        <v>43585</v>
      </c>
      <c r="E979">
        <v>14.285714285714199</v>
      </c>
      <c r="F979">
        <v>58.391330576931502</v>
      </c>
      <c r="G979">
        <v>19.979733240949201</v>
      </c>
      <c r="H979">
        <v>34.030615084207597</v>
      </c>
      <c r="I979">
        <v>0</v>
      </c>
      <c r="J979">
        <v>85.714285714285694</v>
      </c>
      <c r="K979">
        <v>6</v>
      </c>
      <c r="L979" t="b">
        <v>0</v>
      </c>
      <c r="M979" s="2" t="s">
        <v>100</v>
      </c>
      <c r="N979" s="2" t="s">
        <v>100</v>
      </c>
      <c r="O979" s="2" t="s">
        <v>100</v>
      </c>
      <c r="P979" s="2" t="s">
        <v>100</v>
      </c>
      <c r="Q979">
        <v>80.269779293880703</v>
      </c>
      <c r="R979" s="2" t="s">
        <v>100</v>
      </c>
      <c r="S979">
        <v>50</v>
      </c>
      <c r="T979" s="2" t="s">
        <v>100</v>
      </c>
      <c r="U979" s="2" t="s">
        <v>100</v>
      </c>
      <c r="V979" t="b">
        <v>0</v>
      </c>
      <c r="W979" t="b">
        <v>1</v>
      </c>
      <c r="X979">
        <v>62.328767123287598</v>
      </c>
    </row>
    <row r="980" spans="3:24" x14ac:dyDescent="0.35">
      <c r="C980" s="2" t="s">
        <v>88</v>
      </c>
      <c r="D980" s="3">
        <v>43220</v>
      </c>
      <c r="E980">
        <v>12.179487179487101</v>
      </c>
      <c r="F980">
        <v>51.092015753669799</v>
      </c>
      <c r="G980">
        <v>25.208511219645398</v>
      </c>
      <c r="H980">
        <v>33.7284574591283</v>
      </c>
      <c r="I980">
        <v>0</v>
      </c>
      <c r="J980">
        <v>85.714285714285694</v>
      </c>
      <c r="K980">
        <v>7</v>
      </c>
      <c r="L980" t="b">
        <v>0</v>
      </c>
      <c r="M980" s="2" t="s">
        <v>100</v>
      </c>
      <c r="N980" s="2" t="s">
        <v>100</v>
      </c>
      <c r="O980" s="2" t="s">
        <v>100</v>
      </c>
      <c r="P980" s="2" t="s">
        <v>100</v>
      </c>
      <c r="Q980">
        <v>13.9549058403905</v>
      </c>
      <c r="R980" s="2" t="s">
        <v>100</v>
      </c>
      <c r="S980">
        <v>50</v>
      </c>
      <c r="T980" s="2" t="s">
        <v>100</v>
      </c>
      <c r="U980" s="2" t="s">
        <v>100</v>
      </c>
      <c r="V980" t="b">
        <v>0</v>
      </c>
      <c r="W980" t="b">
        <v>1</v>
      </c>
      <c r="X980">
        <v>61.1111111111111</v>
      </c>
    </row>
    <row r="981" spans="3:24" x14ac:dyDescent="0.35">
      <c r="C981" s="2" t="s">
        <v>88</v>
      </c>
      <c r="D981" s="3">
        <v>42855</v>
      </c>
      <c r="E981">
        <v>0</v>
      </c>
      <c r="F981">
        <v>34.989747095010202</v>
      </c>
      <c r="G981">
        <v>11.7045102998443</v>
      </c>
      <c r="H981">
        <v>19.3709117983047</v>
      </c>
      <c r="I981" s="2" t="s">
        <v>100</v>
      </c>
      <c r="J981">
        <v>85.714285714285694</v>
      </c>
      <c r="K981">
        <v>5</v>
      </c>
      <c r="L981" t="b">
        <v>0</v>
      </c>
      <c r="M981" s="2" t="s">
        <v>100</v>
      </c>
      <c r="N981" s="2" t="s">
        <v>100</v>
      </c>
      <c r="O981" s="2" t="s">
        <v>100</v>
      </c>
      <c r="P981" s="2" t="s">
        <v>100</v>
      </c>
      <c r="Q981">
        <v>17.695432117423302</v>
      </c>
      <c r="R981" s="2" t="s">
        <v>100</v>
      </c>
      <c r="S981">
        <v>50</v>
      </c>
      <c r="T981" s="2" t="s">
        <v>100</v>
      </c>
      <c r="U981" s="2" t="s">
        <v>100</v>
      </c>
      <c r="V981" t="b">
        <v>0</v>
      </c>
      <c r="W981" t="b">
        <v>1</v>
      </c>
      <c r="X981">
        <v>66.363636363636303</v>
      </c>
    </row>
    <row r="982" spans="3:24" x14ac:dyDescent="0.35">
      <c r="C982" s="2" t="s">
        <v>88</v>
      </c>
      <c r="D982" s="3">
        <v>42490</v>
      </c>
      <c r="E982">
        <v>0</v>
      </c>
      <c r="F982">
        <v>35.023605525441504</v>
      </c>
      <c r="G982">
        <v>18.8352100237346</v>
      </c>
      <c r="H982">
        <v>23.0615396537419</v>
      </c>
      <c r="I982" s="2" t="s">
        <v>100</v>
      </c>
      <c r="J982">
        <v>85.714285714285694</v>
      </c>
      <c r="K982">
        <v>6</v>
      </c>
      <c r="L982" t="b">
        <v>0</v>
      </c>
      <c r="M982" s="2" t="s">
        <v>100</v>
      </c>
      <c r="N982" s="2" t="s">
        <v>100</v>
      </c>
      <c r="O982" s="2" t="s">
        <v>100</v>
      </c>
      <c r="P982" s="2" t="s">
        <v>100</v>
      </c>
      <c r="Q982">
        <v>18.497865737530599</v>
      </c>
      <c r="R982" s="2" t="s">
        <v>100</v>
      </c>
      <c r="S982">
        <v>50</v>
      </c>
      <c r="T982" s="2" t="s">
        <v>100</v>
      </c>
      <c r="U982" s="2" t="s">
        <v>100</v>
      </c>
      <c r="V982" t="b">
        <v>0</v>
      </c>
      <c r="W982" t="b">
        <v>1</v>
      </c>
      <c r="X982">
        <v>71.428571428571402</v>
      </c>
    </row>
    <row r="983" spans="3:24" x14ac:dyDescent="0.35">
      <c r="C983" s="2" t="s">
        <v>89</v>
      </c>
      <c r="D983" s="3">
        <v>45710</v>
      </c>
      <c r="E983">
        <v>67.382659073055706</v>
      </c>
      <c r="F983">
        <v>78.189009343447097</v>
      </c>
      <c r="G983">
        <v>79.023742080896596</v>
      </c>
      <c r="H983">
        <v>75.888088645909605</v>
      </c>
      <c r="I983">
        <v>1384723</v>
      </c>
      <c r="J983">
        <v>84.615384615384599</v>
      </c>
      <c r="K983">
        <v>12</v>
      </c>
      <c r="L983" t="b">
        <v>1</v>
      </c>
      <c r="M983">
        <v>113057</v>
      </c>
      <c r="N983" s="2" t="s">
        <v>100</v>
      </c>
      <c r="O983" t="b">
        <v>1</v>
      </c>
      <c r="P983" s="2" t="s">
        <v>100</v>
      </c>
      <c r="Q983">
        <v>69.909916611739803</v>
      </c>
      <c r="R983" t="b">
        <v>1</v>
      </c>
      <c r="S983">
        <v>80.740740740740705</v>
      </c>
      <c r="T983" s="2" t="s">
        <v>100</v>
      </c>
      <c r="U983">
        <v>84</v>
      </c>
      <c r="V983" t="b">
        <v>1</v>
      </c>
      <c r="W983" t="b">
        <v>1</v>
      </c>
      <c r="X983">
        <v>54.255319148936103</v>
      </c>
    </row>
    <row r="984" spans="3:24" x14ac:dyDescent="0.35">
      <c r="C984" s="2" t="s">
        <v>89</v>
      </c>
      <c r="D984" s="3">
        <v>45346</v>
      </c>
      <c r="E984">
        <v>66.536829212715006</v>
      </c>
      <c r="F984">
        <v>75.213654049642798</v>
      </c>
      <c r="G984">
        <v>76.214359784621195</v>
      </c>
      <c r="H984">
        <v>73.463513715401504</v>
      </c>
      <c r="I984">
        <v>1490729</v>
      </c>
      <c r="J984">
        <v>78.571428571428498</v>
      </c>
      <c r="K984">
        <v>12</v>
      </c>
      <c r="L984" t="b">
        <v>1</v>
      </c>
      <c r="M984" s="2" t="s">
        <v>100</v>
      </c>
      <c r="N984" s="2" t="s">
        <v>100</v>
      </c>
      <c r="O984" t="b">
        <v>1</v>
      </c>
      <c r="P984" s="2" t="s">
        <v>100</v>
      </c>
      <c r="Q984">
        <v>70.2374273937494</v>
      </c>
      <c r="R984" t="b">
        <v>0</v>
      </c>
      <c r="S984">
        <v>80.514705882352899</v>
      </c>
      <c r="T984" s="2" t="s">
        <v>100</v>
      </c>
      <c r="U984">
        <v>84</v>
      </c>
      <c r="V984" t="b">
        <v>1</v>
      </c>
      <c r="W984" t="b">
        <v>1</v>
      </c>
      <c r="X984">
        <v>55.244755244755197</v>
      </c>
    </row>
    <row r="985" spans="3:24" x14ac:dyDescent="0.35">
      <c r="C985" s="2" t="s">
        <v>89</v>
      </c>
      <c r="D985" s="3">
        <v>44982</v>
      </c>
      <c r="E985">
        <v>69.694404362936595</v>
      </c>
      <c r="F985">
        <v>80.261035966269404</v>
      </c>
      <c r="G985">
        <v>71.255913280890894</v>
      </c>
      <c r="H985">
        <v>75.117800231002605</v>
      </c>
      <c r="I985">
        <v>1614808</v>
      </c>
      <c r="J985">
        <v>78.571428571428498</v>
      </c>
      <c r="K985">
        <v>12</v>
      </c>
      <c r="L985" t="b">
        <v>1</v>
      </c>
      <c r="M985">
        <v>95127</v>
      </c>
      <c r="N985" s="2" t="s">
        <v>100</v>
      </c>
      <c r="O985" t="b">
        <v>1</v>
      </c>
      <c r="P985" s="2" t="s">
        <v>100</v>
      </c>
      <c r="Q985">
        <v>71.154811864450707</v>
      </c>
      <c r="R985" t="b">
        <v>0</v>
      </c>
      <c r="S985">
        <v>81.954887218045101</v>
      </c>
      <c r="T985" s="2" t="s">
        <v>100</v>
      </c>
      <c r="U985">
        <v>82</v>
      </c>
      <c r="V985" t="b">
        <v>1</v>
      </c>
      <c r="W985" t="b">
        <v>1</v>
      </c>
      <c r="X985">
        <v>56.3829787234042</v>
      </c>
    </row>
    <row r="986" spans="3:24" x14ac:dyDescent="0.35">
      <c r="C986" s="2" t="s">
        <v>89</v>
      </c>
      <c r="D986" s="3">
        <v>44618</v>
      </c>
      <c r="E986">
        <v>76.295834871416204</v>
      </c>
      <c r="F986">
        <v>85.368622613043897</v>
      </c>
      <c r="G986">
        <v>65.081018518518505</v>
      </c>
      <c r="H986">
        <v>77.2536468817691</v>
      </c>
      <c r="I986">
        <v>1752435</v>
      </c>
      <c r="J986">
        <v>76.470588235294102</v>
      </c>
      <c r="K986">
        <v>13</v>
      </c>
      <c r="L986" t="b">
        <v>1</v>
      </c>
      <c r="M986">
        <v>55837</v>
      </c>
      <c r="N986" s="2" t="s">
        <v>100</v>
      </c>
      <c r="O986" t="b">
        <v>1</v>
      </c>
      <c r="P986" s="2" t="s">
        <v>100</v>
      </c>
      <c r="Q986">
        <v>73.521960578472303</v>
      </c>
      <c r="R986" t="b">
        <v>0</v>
      </c>
      <c r="S986">
        <v>82.307692307692307</v>
      </c>
      <c r="T986" s="2" t="s">
        <v>100</v>
      </c>
      <c r="U986">
        <v>80</v>
      </c>
      <c r="V986" t="b">
        <v>1</v>
      </c>
      <c r="W986" t="b">
        <v>1</v>
      </c>
      <c r="X986">
        <v>57.092198581560197</v>
      </c>
    </row>
    <row r="987" spans="3:24" x14ac:dyDescent="0.35">
      <c r="C987" s="2" t="s">
        <v>89</v>
      </c>
      <c r="D987" s="3">
        <v>44254</v>
      </c>
      <c r="E987">
        <v>70.566985769776096</v>
      </c>
      <c r="F987">
        <v>88.674730649745499</v>
      </c>
      <c r="G987">
        <v>80.843103429416999</v>
      </c>
      <c r="H987">
        <v>82.099921873354802</v>
      </c>
      <c r="I987">
        <v>1771373</v>
      </c>
      <c r="J987">
        <v>71.428571428571402</v>
      </c>
      <c r="K987">
        <v>13</v>
      </c>
      <c r="L987" t="b">
        <v>1</v>
      </c>
      <c r="M987">
        <v>51529</v>
      </c>
      <c r="N987" s="2" t="s">
        <v>100</v>
      </c>
      <c r="O987" t="b">
        <v>1</v>
      </c>
      <c r="P987" s="2" t="s">
        <v>100</v>
      </c>
      <c r="Q987">
        <v>75.621147307915805</v>
      </c>
      <c r="R987" t="b">
        <v>0</v>
      </c>
      <c r="S987">
        <v>82.520325203252</v>
      </c>
      <c r="T987" s="2" t="s">
        <v>100</v>
      </c>
      <c r="U987">
        <v>82</v>
      </c>
      <c r="V987" t="b">
        <v>1</v>
      </c>
      <c r="W987" t="b">
        <v>1</v>
      </c>
      <c r="X987">
        <v>58.148148148148103</v>
      </c>
    </row>
    <row r="988" spans="3:24" x14ac:dyDescent="0.35">
      <c r="C988" s="2" t="s">
        <v>89</v>
      </c>
      <c r="D988" s="3">
        <v>43890</v>
      </c>
      <c r="E988">
        <v>73.257797270955095</v>
      </c>
      <c r="F988">
        <v>85.330415148954401</v>
      </c>
      <c r="G988">
        <v>57.541310541310501</v>
      </c>
      <c r="H988">
        <v>74.298507123082402</v>
      </c>
      <c r="I988">
        <v>1964766</v>
      </c>
      <c r="J988">
        <v>76.923076923076906</v>
      </c>
      <c r="K988">
        <v>13</v>
      </c>
      <c r="L988" t="b">
        <v>1</v>
      </c>
      <c r="M988">
        <v>441222</v>
      </c>
      <c r="N988" s="2" t="s">
        <v>100</v>
      </c>
      <c r="O988" t="b">
        <v>1</v>
      </c>
      <c r="P988" s="2" t="s">
        <v>100</v>
      </c>
      <c r="Q988">
        <v>78.200069035947806</v>
      </c>
      <c r="R988" t="b">
        <v>0</v>
      </c>
      <c r="S988">
        <v>78.217821782178206</v>
      </c>
      <c r="T988">
        <v>6.65</v>
      </c>
      <c r="U988">
        <v>79</v>
      </c>
      <c r="V988" t="b">
        <v>1</v>
      </c>
      <c r="W988" t="b">
        <v>1</v>
      </c>
      <c r="X988">
        <v>62.393162393162299</v>
      </c>
    </row>
    <row r="989" spans="3:24" x14ac:dyDescent="0.35">
      <c r="C989" s="2" t="s">
        <v>89</v>
      </c>
      <c r="D989" s="3">
        <v>43519</v>
      </c>
      <c r="E989">
        <v>68.395456827309204</v>
      </c>
      <c r="F989">
        <v>85.581021858266197</v>
      </c>
      <c r="G989">
        <v>67.451469484381306</v>
      </c>
      <c r="H989">
        <v>76.189793066519798</v>
      </c>
      <c r="I989">
        <v>2113023</v>
      </c>
      <c r="J989">
        <v>76.923076923076906</v>
      </c>
      <c r="K989">
        <v>13</v>
      </c>
      <c r="L989" t="b">
        <v>1</v>
      </c>
      <c r="M989">
        <v>451141</v>
      </c>
      <c r="N989" s="2" t="s">
        <v>100</v>
      </c>
      <c r="O989" t="b">
        <v>1</v>
      </c>
      <c r="P989" s="2" t="s">
        <v>100</v>
      </c>
      <c r="Q989">
        <v>80.269779293880703</v>
      </c>
      <c r="R989" t="b">
        <v>0</v>
      </c>
      <c r="S989">
        <v>81.382978723404193</v>
      </c>
      <c r="T989">
        <v>7.05</v>
      </c>
      <c r="U989">
        <v>83</v>
      </c>
      <c r="V989" t="b">
        <v>1</v>
      </c>
      <c r="W989" t="b">
        <v>1</v>
      </c>
      <c r="X989">
        <v>62.019230769230703</v>
      </c>
    </row>
    <row r="990" spans="3:24" x14ac:dyDescent="0.35">
      <c r="C990" s="2" t="s">
        <v>89</v>
      </c>
      <c r="D990" s="3">
        <v>43155</v>
      </c>
      <c r="E990">
        <v>52.831385979049102</v>
      </c>
      <c r="F990">
        <v>83.842539004413595</v>
      </c>
      <c r="G990">
        <v>58.050062426236401</v>
      </c>
      <c r="H990">
        <v>68.935416549872897</v>
      </c>
      <c r="I990">
        <v>3548964</v>
      </c>
      <c r="J990">
        <v>72.727272727272705</v>
      </c>
      <c r="K990">
        <v>11</v>
      </c>
      <c r="L990" t="b">
        <v>1</v>
      </c>
      <c r="M990">
        <v>97966</v>
      </c>
      <c r="N990" s="2" t="s">
        <v>100</v>
      </c>
      <c r="O990" t="b">
        <v>1</v>
      </c>
      <c r="P990" s="2" t="s">
        <v>100</v>
      </c>
      <c r="Q990">
        <v>82.220517481419506</v>
      </c>
      <c r="R990" s="2" t="s">
        <v>100</v>
      </c>
      <c r="S990">
        <v>81.325301204819198</v>
      </c>
      <c r="T990">
        <v>7.399</v>
      </c>
      <c r="U990">
        <v>83</v>
      </c>
      <c r="V990" t="b">
        <v>1</v>
      </c>
      <c r="W990" t="b">
        <v>1</v>
      </c>
      <c r="X990">
        <v>60.9890109890109</v>
      </c>
    </row>
    <row r="991" spans="3:24" x14ac:dyDescent="0.35">
      <c r="C991" s="2" t="s">
        <v>89</v>
      </c>
      <c r="D991" s="3">
        <v>42791</v>
      </c>
      <c r="E991">
        <v>66.022397482285498</v>
      </c>
      <c r="F991">
        <v>84.332558440577699</v>
      </c>
      <c r="G991">
        <v>65.894042550176707</v>
      </c>
      <c r="H991">
        <v>74.585265415592104</v>
      </c>
      <c r="I991">
        <v>3594225</v>
      </c>
      <c r="J991">
        <v>75</v>
      </c>
      <c r="K991">
        <v>11</v>
      </c>
      <c r="L991" t="b">
        <v>1</v>
      </c>
      <c r="M991">
        <v>106719</v>
      </c>
      <c r="N991" s="2" t="s">
        <v>100</v>
      </c>
      <c r="O991" t="b">
        <v>1</v>
      </c>
      <c r="P991" s="2" t="s">
        <v>100</v>
      </c>
      <c r="Q991">
        <v>85.960763534790999</v>
      </c>
      <c r="R991" s="2" t="s">
        <v>100</v>
      </c>
      <c r="S991">
        <v>86.842105263157904</v>
      </c>
      <c r="T991">
        <v>7.7039999999999997</v>
      </c>
      <c r="U991">
        <v>83</v>
      </c>
      <c r="V991" t="b">
        <v>1</v>
      </c>
      <c r="W991" t="b">
        <v>1</v>
      </c>
      <c r="X991">
        <v>64.705882352941103</v>
      </c>
    </row>
    <row r="992" spans="3:24" x14ac:dyDescent="0.35">
      <c r="C992" s="2" t="s">
        <v>89</v>
      </c>
      <c r="D992" s="3">
        <v>42427</v>
      </c>
      <c r="E992">
        <v>59.701709823992402</v>
      </c>
      <c r="F992">
        <v>87.606990961086893</v>
      </c>
      <c r="G992">
        <v>81.526604846276896</v>
      </c>
      <c r="H992">
        <v>79.239020446508505</v>
      </c>
      <c r="I992">
        <v>3830069</v>
      </c>
      <c r="J992">
        <v>73.3333333333333</v>
      </c>
      <c r="K992">
        <v>8</v>
      </c>
      <c r="L992" t="b">
        <v>1</v>
      </c>
      <c r="M992" s="2" t="s">
        <v>100</v>
      </c>
      <c r="N992" s="2" t="s">
        <v>100</v>
      </c>
      <c r="O992" t="b">
        <v>1</v>
      </c>
      <c r="P992" s="2" t="s">
        <v>100</v>
      </c>
      <c r="Q992">
        <v>86.761782529177495</v>
      </c>
      <c r="R992" s="2" t="s">
        <v>100</v>
      </c>
      <c r="S992">
        <v>96.6216216216216</v>
      </c>
      <c r="T992">
        <v>6.5869999999999997</v>
      </c>
      <c r="U992" s="2" t="s">
        <v>100</v>
      </c>
      <c r="V992" t="b">
        <v>1</v>
      </c>
      <c r="W992" t="b">
        <v>1</v>
      </c>
      <c r="X992">
        <v>67.721518987341696</v>
      </c>
    </row>
    <row r="993" spans="3:24" x14ac:dyDescent="0.35">
      <c r="C993" s="2" t="s">
        <v>89</v>
      </c>
      <c r="D993" s="3">
        <v>45351</v>
      </c>
      <c r="E993" s="2" t="s">
        <v>100</v>
      </c>
      <c r="F993" s="2" t="s">
        <v>100</v>
      </c>
      <c r="G993" s="2" t="s">
        <v>100</v>
      </c>
      <c r="H993" s="2" t="s">
        <v>100</v>
      </c>
      <c r="I993" s="2" t="s">
        <v>100</v>
      </c>
      <c r="J993" s="2" t="s">
        <v>100</v>
      </c>
      <c r="K993" s="2" t="s">
        <v>100</v>
      </c>
      <c r="L993" s="2" t="s">
        <v>100</v>
      </c>
      <c r="M993" s="2" t="s">
        <v>100</v>
      </c>
      <c r="N993" s="2" t="s">
        <v>100</v>
      </c>
      <c r="O993" s="2" t="s">
        <v>100</v>
      </c>
      <c r="P993" s="2" t="s">
        <v>100</v>
      </c>
      <c r="Q993" s="2" t="s">
        <v>100</v>
      </c>
      <c r="R993" s="2" t="s">
        <v>100</v>
      </c>
      <c r="S993" s="2" t="s">
        <v>100</v>
      </c>
      <c r="T993" s="2" t="s">
        <v>100</v>
      </c>
      <c r="U993" s="2" t="s">
        <v>100</v>
      </c>
      <c r="V993" s="2" t="s">
        <v>100</v>
      </c>
      <c r="W993" s="2" t="s">
        <v>100</v>
      </c>
      <c r="X993" s="2" t="s">
        <v>100</v>
      </c>
    </row>
    <row r="994" spans="3:24" x14ac:dyDescent="0.35">
      <c r="C994" s="2" t="s">
        <v>89</v>
      </c>
      <c r="D994" s="3">
        <v>42429</v>
      </c>
      <c r="E994" s="2" t="s">
        <v>100</v>
      </c>
      <c r="F994" s="2" t="s">
        <v>100</v>
      </c>
      <c r="G994" s="2" t="s">
        <v>100</v>
      </c>
      <c r="H994" s="2" t="s">
        <v>100</v>
      </c>
      <c r="I994" s="2" t="s">
        <v>100</v>
      </c>
      <c r="J994" s="2" t="s">
        <v>100</v>
      </c>
      <c r="K994" s="2" t="s">
        <v>100</v>
      </c>
      <c r="L994" s="2" t="s">
        <v>100</v>
      </c>
      <c r="M994" s="2" t="s">
        <v>100</v>
      </c>
      <c r="N994" s="2" t="s">
        <v>100</v>
      </c>
      <c r="O994" s="2" t="s">
        <v>100</v>
      </c>
      <c r="P994" s="2" t="s">
        <v>100</v>
      </c>
      <c r="Q994" s="2" t="s">
        <v>100</v>
      </c>
      <c r="R994" s="2" t="s">
        <v>100</v>
      </c>
      <c r="S994" s="2" t="s">
        <v>100</v>
      </c>
      <c r="T994" s="2" t="s">
        <v>100</v>
      </c>
      <c r="U994" s="2" t="s">
        <v>100</v>
      </c>
      <c r="V994" s="2" t="s">
        <v>100</v>
      </c>
      <c r="W994" s="2" t="s">
        <v>100</v>
      </c>
      <c r="X994" s="2" t="s">
        <v>100</v>
      </c>
    </row>
    <row r="995" spans="3:24" x14ac:dyDescent="0.35">
      <c r="C995" s="2" t="s">
        <v>89</v>
      </c>
      <c r="D995" s="3">
        <v>43159</v>
      </c>
      <c r="E995" s="2" t="s">
        <v>100</v>
      </c>
      <c r="F995" s="2" t="s">
        <v>100</v>
      </c>
      <c r="G995" s="2" t="s">
        <v>100</v>
      </c>
      <c r="H995" s="2" t="s">
        <v>100</v>
      </c>
      <c r="I995" s="2" t="s">
        <v>100</v>
      </c>
      <c r="J995" s="2" t="s">
        <v>100</v>
      </c>
      <c r="K995" s="2" t="s">
        <v>100</v>
      </c>
      <c r="L995" s="2" t="s">
        <v>100</v>
      </c>
      <c r="M995" s="2" t="s">
        <v>100</v>
      </c>
      <c r="N995" s="2" t="s">
        <v>100</v>
      </c>
      <c r="O995" s="2" t="s">
        <v>100</v>
      </c>
      <c r="P995" s="2" t="s">
        <v>100</v>
      </c>
      <c r="Q995" s="2" t="s">
        <v>100</v>
      </c>
      <c r="R995" s="2" t="s">
        <v>100</v>
      </c>
      <c r="S995" s="2" t="s">
        <v>100</v>
      </c>
      <c r="T995" s="2" t="s">
        <v>100</v>
      </c>
      <c r="U995" s="2" t="s">
        <v>100</v>
      </c>
      <c r="V995" s="2" t="s">
        <v>100</v>
      </c>
      <c r="W995" s="2" t="s">
        <v>100</v>
      </c>
      <c r="X995" s="2" t="s">
        <v>100</v>
      </c>
    </row>
    <row r="996" spans="3:24" x14ac:dyDescent="0.35">
      <c r="C996" s="2" t="s">
        <v>89</v>
      </c>
      <c r="D996" s="3">
        <v>42794</v>
      </c>
      <c r="E996" s="2" t="s">
        <v>100</v>
      </c>
      <c r="F996" s="2" t="s">
        <v>100</v>
      </c>
      <c r="G996" s="2" t="s">
        <v>100</v>
      </c>
      <c r="H996" s="2" t="s">
        <v>100</v>
      </c>
      <c r="I996" s="2" t="s">
        <v>100</v>
      </c>
      <c r="J996" s="2" t="s">
        <v>100</v>
      </c>
      <c r="K996" s="2" t="s">
        <v>100</v>
      </c>
      <c r="L996" s="2" t="s">
        <v>100</v>
      </c>
      <c r="M996" s="2" t="s">
        <v>100</v>
      </c>
      <c r="N996" s="2" t="s">
        <v>100</v>
      </c>
      <c r="O996" s="2" t="s">
        <v>100</v>
      </c>
      <c r="P996" s="2" t="s">
        <v>100</v>
      </c>
      <c r="Q996" s="2" t="s">
        <v>100</v>
      </c>
      <c r="R996" s="2" t="s">
        <v>100</v>
      </c>
      <c r="S996" s="2" t="s">
        <v>100</v>
      </c>
      <c r="T996" s="2" t="s">
        <v>100</v>
      </c>
      <c r="U996" s="2" t="s">
        <v>100</v>
      </c>
      <c r="V996" s="2" t="s">
        <v>100</v>
      </c>
      <c r="W996" s="2" t="s">
        <v>100</v>
      </c>
      <c r="X996" s="2" t="s">
        <v>100</v>
      </c>
    </row>
    <row r="997" spans="3:24" x14ac:dyDescent="0.35">
      <c r="C997" s="2" t="s">
        <v>89</v>
      </c>
      <c r="D997" s="3">
        <v>45716</v>
      </c>
      <c r="E997" s="2" t="s">
        <v>100</v>
      </c>
      <c r="F997" s="2" t="s">
        <v>100</v>
      </c>
      <c r="G997" s="2" t="s">
        <v>100</v>
      </c>
      <c r="H997" s="2" t="s">
        <v>100</v>
      </c>
      <c r="I997" s="2" t="s">
        <v>100</v>
      </c>
      <c r="J997" s="2" t="s">
        <v>100</v>
      </c>
      <c r="K997" s="2" t="s">
        <v>100</v>
      </c>
      <c r="L997" s="2" t="s">
        <v>100</v>
      </c>
      <c r="M997" s="2" t="s">
        <v>100</v>
      </c>
      <c r="N997" s="2" t="s">
        <v>100</v>
      </c>
      <c r="O997" s="2" t="s">
        <v>100</v>
      </c>
      <c r="P997" s="2" t="s">
        <v>100</v>
      </c>
      <c r="Q997" s="2" t="s">
        <v>100</v>
      </c>
      <c r="R997" s="2" t="s">
        <v>100</v>
      </c>
      <c r="S997" s="2" t="s">
        <v>100</v>
      </c>
      <c r="T997" s="2" t="s">
        <v>100</v>
      </c>
      <c r="U997" s="2" t="s">
        <v>100</v>
      </c>
      <c r="V997" s="2" t="s">
        <v>100</v>
      </c>
      <c r="W997" s="2" t="s">
        <v>100</v>
      </c>
      <c r="X997" s="2" t="s">
        <v>100</v>
      </c>
    </row>
    <row r="998" spans="3:24" x14ac:dyDescent="0.35">
      <c r="C998" s="2" t="s">
        <v>89</v>
      </c>
      <c r="D998" s="3">
        <v>44985</v>
      </c>
      <c r="E998" s="2" t="s">
        <v>100</v>
      </c>
      <c r="F998" s="2" t="s">
        <v>100</v>
      </c>
      <c r="G998" s="2" t="s">
        <v>100</v>
      </c>
      <c r="H998" s="2" t="s">
        <v>100</v>
      </c>
      <c r="I998" s="2" t="s">
        <v>100</v>
      </c>
      <c r="J998" s="2" t="s">
        <v>100</v>
      </c>
      <c r="K998" s="2" t="s">
        <v>100</v>
      </c>
      <c r="L998" s="2" t="s">
        <v>100</v>
      </c>
      <c r="M998" s="2" t="s">
        <v>100</v>
      </c>
      <c r="N998" s="2" t="s">
        <v>100</v>
      </c>
      <c r="O998" s="2" t="s">
        <v>100</v>
      </c>
      <c r="P998" s="2" t="s">
        <v>100</v>
      </c>
      <c r="Q998" s="2" t="s">
        <v>100</v>
      </c>
      <c r="R998" s="2" t="s">
        <v>100</v>
      </c>
      <c r="S998" s="2" t="s">
        <v>100</v>
      </c>
      <c r="T998" s="2" t="s">
        <v>100</v>
      </c>
      <c r="U998" s="2" t="s">
        <v>100</v>
      </c>
      <c r="V998" s="2" t="s">
        <v>100</v>
      </c>
      <c r="W998" s="2" t="s">
        <v>100</v>
      </c>
      <c r="X998" s="2" t="s">
        <v>100</v>
      </c>
    </row>
    <row r="999" spans="3:24" x14ac:dyDescent="0.35">
      <c r="C999" s="2" t="s">
        <v>89</v>
      </c>
      <c r="D999" s="3">
        <v>44620</v>
      </c>
      <c r="E999" s="2" t="s">
        <v>100</v>
      </c>
      <c r="F999" s="2" t="s">
        <v>100</v>
      </c>
      <c r="G999" s="2" t="s">
        <v>100</v>
      </c>
      <c r="H999" s="2" t="s">
        <v>100</v>
      </c>
      <c r="I999" s="2" t="s">
        <v>100</v>
      </c>
      <c r="J999" s="2" t="s">
        <v>100</v>
      </c>
      <c r="K999" s="2" t="s">
        <v>100</v>
      </c>
      <c r="L999" s="2" t="s">
        <v>100</v>
      </c>
      <c r="M999" s="2" t="s">
        <v>100</v>
      </c>
      <c r="N999" s="2" t="s">
        <v>100</v>
      </c>
      <c r="O999" s="2" t="s">
        <v>100</v>
      </c>
      <c r="P999" s="2" t="s">
        <v>100</v>
      </c>
      <c r="Q999" s="2" t="s">
        <v>100</v>
      </c>
      <c r="R999" s="2" t="s">
        <v>100</v>
      </c>
      <c r="S999" s="2" t="s">
        <v>100</v>
      </c>
      <c r="T999" s="2" t="s">
        <v>100</v>
      </c>
      <c r="U999" s="2" t="s">
        <v>100</v>
      </c>
      <c r="V999" s="2" t="s">
        <v>100</v>
      </c>
      <c r="W999" s="2" t="s">
        <v>100</v>
      </c>
      <c r="X999" s="2" t="s">
        <v>100</v>
      </c>
    </row>
    <row r="1000" spans="3:24" x14ac:dyDescent="0.35">
      <c r="C1000" s="2" t="s">
        <v>89</v>
      </c>
      <c r="D1000" s="3">
        <v>44255</v>
      </c>
      <c r="E1000" s="2" t="s">
        <v>100</v>
      </c>
      <c r="F1000" s="2" t="s">
        <v>100</v>
      </c>
      <c r="G1000" s="2" t="s">
        <v>100</v>
      </c>
      <c r="H1000" s="2" t="s">
        <v>100</v>
      </c>
      <c r="I1000" s="2" t="s">
        <v>100</v>
      </c>
      <c r="J1000" s="2" t="s">
        <v>100</v>
      </c>
      <c r="K1000" s="2" t="s">
        <v>100</v>
      </c>
      <c r="L1000" s="2" t="s">
        <v>100</v>
      </c>
      <c r="M1000" s="2" t="s">
        <v>100</v>
      </c>
      <c r="N1000" s="2" t="s">
        <v>100</v>
      </c>
      <c r="O1000" s="2" t="s">
        <v>100</v>
      </c>
      <c r="P1000" s="2" t="s">
        <v>100</v>
      </c>
      <c r="Q1000" s="2" t="s">
        <v>100</v>
      </c>
      <c r="R1000" s="2" t="s">
        <v>100</v>
      </c>
      <c r="S1000" s="2" t="s">
        <v>100</v>
      </c>
      <c r="T1000" s="2" t="s">
        <v>100</v>
      </c>
      <c r="U1000" s="2" t="s">
        <v>100</v>
      </c>
      <c r="V1000" s="2" t="s">
        <v>100</v>
      </c>
      <c r="W1000" s="2" t="s">
        <v>100</v>
      </c>
      <c r="X1000" s="2" t="s">
        <v>100</v>
      </c>
    </row>
    <row r="1001" spans="3:24" x14ac:dyDescent="0.35">
      <c r="C1001" s="2" t="s">
        <v>90</v>
      </c>
      <c r="D1001" s="3">
        <v>46022</v>
      </c>
      <c r="E1001">
        <v>53.173011120111099</v>
      </c>
      <c r="F1001">
        <v>63.877312142667598</v>
      </c>
      <c r="G1001">
        <v>86.958226730019405</v>
      </c>
      <c r="H1001">
        <v>70.645022046866103</v>
      </c>
      <c r="I1001">
        <v>8261.7000000000007</v>
      </c>
      <c r="J1001">
        <v>90.909090909090907</v>
      </c>
      <c r="K1001">
        <v>9</v>
      </c>
      <c r="L1001" t="b">
        <v>1</v>
      </c>
      <c r="M1001" s="2" t="s">
        <v>100</v>
      </c>
      <c r="N1001" s="2" t="s">
        <v>100</v>
      </c>
      <c r="O1001" t="b">
        <v>1</v>
      </c>
      <c r="P1001" s="2" t="s">
        <v>100</v>
      </c>
      <c r="Q1001">
        <v>69.909916611739803</v>
      </c>
      <c r="R1001" t="b">
        <v>0</v>
      </c>
      <c r="S1001">
        <v>25.553319919517101</v>
      </c>
      <c r="T1001" s="2" t="s">
        <v>100</v>
      </c>
      <c r="U1001">
        <v>89</v>
      </c>
      <c r="V1001" t="b">
        <v>1</v>
      </c>
      <c r="W1001" t="b">
        <v>1</v>
      </c>
      <c r="X1001">
        <v>50.7944389275074</v>
      </c>
    </row>
    <row r="1002" spans="3:24" x14ac:dyDescent="0.35">
      <c r="C1002" s="2" t="s">
        <v>90</v>
      </c>
      <c r="D1002" s="3">
        <v>45657</v>
      </c>
      <c r="E1002">
        <v>50.620139308434801</v>
      </c>
      <c r="F1002">
        <v>61.653129332874698</v>
      </c>
      <c r="G1002">
        <v>85.998588457738705</v>
      </c>
      <c r="H1002">
        <v>68.828744054306398</v>
      </c>
      <c r="I1002">
        <v>6642.69</v>
      </c>
      <c r="J1002">
        <v>90.909090909090907</v>
      </c>
      <c r="K1002">
        <v>10</v>
      </c>
      <c r="L1002" t="b">
        <v>1</v>
      </c>
      <c r="M1002" s="2" t="s">
        <v>100</v>
      </c>
      <c r="N1002" s="2" t="s">
        <v>100</v>
      </c>
      <c r="O1002" t="b">
        <v>1</v>
      </c>
      <c r="P1002" s="2" t="s">
        <v>100</v>
      </c>
      <c r="Q1002">
        <v>70.2374273937494</v>
      </c>
      <c r="R1002" t="b">
        <v>0</v>
      </c>
      <c r="S1002">
        <v>25.9</v>
      </c>
      <c r="T1002" s="2" t="s">
        <v>100</v>
      </c>
      <c r="U1002">
        <v>83</v>
      </c>
      <c r="V1002" t="b">
        <v>1</v>
      </c>
      <c r="W1002" t="b">
        <v>1</v>
      </c>
      <c r="X1002">
        <v>51.080550098231797</v>
      </c>
    </row>
    <row r="1003" spans="3:24" x14ac:dyDescent="0.35">
      <c r="C1003" s="2" t="s">
        <v>90</v>
      </c>
      <c r="D1003" s="3">
        <v>45291</v>
      </c>
      <c r="E1003">
        <v>51.593501938900197</v>
      </c>
      <c r="F1003">
        <v>58.961048310150602</v>
      </c>
      <c r="G1003">
        <v>82.645455446525901</v>
      </c>
      <c r="H1003">
        <v>66.426508201785694</v>
      </c>
      <c r="I1003">
        <v>4468.22</v>
      </c>
      <c r="J1003">
        <v>88.8888888888888</v>
      </c>
      <c r="K1003">
        <v>9</v>
      </c>
      <c r="L1003" t="b">
        <v>0</v>
      </c>
      <c r="M1003">
        <v>338</v>
      </c>
      <c r="N1003" s="2" t="s">
        <v>100</v>
      </c>
      <c r="O1003" t="b">
        <v>1</v>
      </c>
      <c r="P1003">
        <v>281940</v>
      </c>
      <c r="Q1003">
        <v>71.154811864450707</v>
      </c>
      <c r="R1003" t="b">
        <v>0</v>
      </c>
      <c r="S1003">
        <v>25.952626158599301</v>
      </c>
      <c r="T1003">
        <v>0</v>
      </c>
      <c r="U1003" s="2" t="s">
        <v>100</v>
      </c>
      <c r="V1003" t="b">
        <v>1</v>
      </c>
      <c r="W1003" t="b">
        <v>1</v>
      </c>
      <c r="X1003">
        <v>51.998001998002003</v>
      </c>
    </row>
    <row r="1004" spans="3:24" x14ac:dyDescent="0.35">
      <c r="C1004" s="2" t="s">
        <v>90</v>
      </c>
      <c r="D1004" s="3">
        <v>44926</v>
      </c>
      <c r="E1004">
        <v>51.390471389229901</v>
      </c>
      <c r="F1004">
        <v>57.092770031980699</v>
      </c>
      <c r="G1004">
        <v>72.697165915915903</v>
      </c>
      <c r="H1004">
        <v>61.889221545641199</v>
      </c>
      <c r="I1004">
        <v>4478.8</v>
      </c>
      <c r="J1004">
        <v>80</v>
      </c>
      <c r="K1004">
        <v>9</v>
      </c>
      <c r="L1004" t="b">
        <v>0</v>
      </c>
      <c r="M1004" s="2" t="s">
        <v>100</v>
      </c>
      <c r="N1004" s="2" t="s">
        <v>100</v>
      </c>
      <c r="O1004" t="b">
        <v>1</v>
      </c>
      <c r="P1004">
        <v>201384</v>
      </c>
      <c r="Q1004">
        <v>73.521960578472303</v>
      </c>
      <c r="R1004" t="b">
        <v>0</v>
      </c>
      <c r="S1004">
        <v>27.010309278350501</v>
      </c>
      <c r="T1004" s="2" t="s">
        <v>100</v>
      </c>
      <c r="U1004" s="2" t="s">
        <v>100</v>
      </c>
      <c r="V1004" t="b">
        <v>1</v>
      </c>
      <c r="W1004" t="b">
        <v>1</v>
      </c>
      <c r="X1004">
        <v>52.667984189723299</v>
      </c>
    </row>
    <row r="1005" spans="3:24" x14ac:dyDescent="0.35">
      <c r="C1005" s="2" t="s">
        <v>90</v>
      </c>
      <c r="D1005" s="3">
        <v>44561</v>
      </c>
      <c r="E1005">
        <v>51.769040930192901</v>
      </c>
      <c r="F1005">
        <v>56.950999627731498</v>
      </c>
      <c r="G1005">
        <v>70.7911316747999</v>
      </c>
      <c r="H1005">
        <v>61.187245112230599</v>
      </c>
      <c r="I1005">
        <v>3658.6</v>
      </c>
      <c r="J1005">
        <v>77.7777777777777</v>
      </c>
      <c r="K1005">
        <v>9</v>
      </c>
      <c r="L1005" t="b">
        <v>0</v>
      </c>
      <c r="M1005" s="2" t="s">
        <v>100</v>
      </c>
      <c r="N1005" s="2" t="s">
        <v>100</v>
      </c>
      <c r="O1005" t="b">
        <v>1</v>
      </c>
      <c r="P1005">
        <v>234480</v>
      </c>
      <c r="Q1005">
        <v>75.621147307915805</v>
      </c>
      <c r="R1005" t="b">
        <v>0</v>
      </c>
      <c r="S1005">
        <v>28.1950672645739</v>
      </c>
      <c r="T1005" s="2" t="s">
        <v>100</v>
      </c>
      <c r="U1005">
        <v>61</v>
      </c>
      <c r="V1005" t="b">
        <v>1</v>
      </c>
      <c r="W1005" t="b">
        <v>1</v>
      </c>
      <c r="X1005">
        <v>53.922594142259399</v>
      </c>
    </row>
    <row r="1006" spans="3:24" x14ac:dyDescent="0.35">
      <c r="C1006" s="2" t="s">
        <v>90</v>
      </c>
      <c r="D1006" s="3">
        <v>44196</v>
      </c>
      <c r="E1006">
        <v>43.340668039582603</v>
      </c>
      <c r="F1006">
        <v>50.062404167786099</v>
      </c>
      <c r="G1006">
        <v>71.442002442002405</v>
      </c>
      <c r="H1006">
        <v>56.791129544042597</v>
      </c>
      <c r="I1006">
        <v>3521.98</v>
      </c>
      <c r="J1006">
        <v>77.7777777777777</v>
      </c>
      <c r="K1006">
        <v>8</v>
      </c>
      <c r="L1006" t="b">
        <v>0</v>
      </c>
      <c r="M1006" s="2" t="s">
        <v>100</v>
      </c>
      <c r="N1006" s="2" t="s">
        <v>100</v>
      </c>
      <c r="O1006" t="b">
        <v>1</v>
      </c>
      <c r="P1006">
        <v>170085.3</v>
      </c>
      <c r="Q1006">
        <v>78.200069035947806</v>
      </c>
      <c r="R1006" t="b">
        <v>0</v>
      </c>
      <c r="S1006">
        <v>29.792746113989601</v>
      </c>
      <c r="T1006" s="2" t="s">
        <v>100</v>
      </c>
      <c r="U1006">
        <v>58</v>
      </c>
      <c r="V1006" t="b">
        <v>1</v>
      </c>
      <c r="W1006" t="b">
        <v>1</v>
      </c>
      <c r="X1006">
        <v>55.594405594405501</v>
      </c>
    </row>
    <row r="1007" spans="3:24" x14ac:dyDescent="0.35">
      <c r="C1007" s="2" t="s">
        <v>90</v>
      </c>
      <c r="D1007" s="3">
        <v>43830</v>
      </c>
      <c r="E1007">
        <v>68.549788073768397</v>
      </c>
      <c r="F1007">
        <v>51.571286808589903</v>
      </c>
      <c r="G1007">
        <v>61.079565794791797</v>
      </c>
      <c r="H1007">
        <v>54.638319631290102</v>
      </c>
      <c r="I1007">
        <v>3712.6</v>
      </c>
      <c r="J1007">
        <v>75</v>
      </c>
      <c r="K1007">
        <v>9</v>
      </c>
      <c r="L1007" t="b">
        <v>0</v>
      </c>
      <c r="M1007" s="2" t="s">
        <v>100</v>
      </c>
      <c r="N1007" s="2" t="s">
        <v>100</v>
      </c>
      <c r="O1007" t="b">
        <v>1</v>
      </c>
      <c r="P1007">
        <v>203032.5</v>
      </c>
      <c r="Q1007">
        <v>80.269779293880703</v>
      </c>
      <c r="R1007" s="2" t="s">
        <v>100</v>
      </c>
      <c r="S1007">
        <v>62.7284595300261</v>
      </c>
      <c r="T1007" s="2" t="s">
        <v>100</v>
      </c>
      <c r="U1007">
        <v>46</v>
      </c>
      <c r="V1007" t="b">
        <v>1</v>
      </c>
      <c r="W1007" t="b">
        <v>1</v>
      </c>
      <c r="X1007">
        <v>54.151404151404101</v>
      </c>
    </row>
    <row r="1008" spans="3:24" x14ac:dyDescent="0.35">
      <c r="C1008" s="2" t="s">
        <v>90</v>
      </c>
      <c r="D1008" s="3">
        <v>43465</v>
      </c>
      <c r="E1008">
        <v>66.314032218092706</v>
      </c>
      <c r="F1008">
        <v>29.245710822581</v>
      </c>
      <c r="G1008">
        <v>29.2619662936272</v>
      </c>
      <c r="H1008">
        <v>31.628248524629601</v>
      </c>
      <c r="I1008">
        <v>3518</v>
      </c>
      <c r="J1008">
        <v>75</v>
      </c>
      <c r="K1008">
        <v>12</v>
      </c>
      <c r="L1008" t="b">
        <v>0</v>
      </c>
      <c r="M1008" s="2" t="s">
        <v>100</v>
      </c>
      <c r="N1008" s="2" t="s">
        <v>100</v>
      </c>
      <c r="O1008" t="b">
        <v>1</v>
      </c>
      <c r="P1008" s="2" t="s">
        <v>100</v>
      </c>
      <c r="Q1008">
        <v>82.220517481419506</v>
      </c>
      <c r="R1008" s="2" t="s">
        <v>100</v>
      </c>
      <c r="S1008">
        <v>0.22189349112425999</v>
      </c>
      <c r="T1008" s="2" t="s">
        <v>100</v>
      </c>
      <c r="U1008" s="2" t="s">
        <v>100</v>
      </c>
      <c r="V1008" t="b">
        <v>0</v>
      </c>
      <c r="W1008" t="b">
        <v>1</v>
      </c>
      <c r="X1008">
        <v>0</v>
      </c>
    </row>
    <row r="1009" spans="3:24" x14ac:dyDescent="0.35">
      <c r="C1009" s="2" t="s">
        <v>90</v>
      </c>
      <c r="D1009" s="3">
        <v>43100</v>
      </c>
      <c r="E1009">
        <v>64.574865927339999</v>
      </c>
      <c r="F1009">
        <v>35.380008963063503</v>
      </c>
      <c r="G1009">
        <v>29.4554295281885</v>
      </c>
      <c r="H1009">
        <v>34.575399224083803</v>
      </c>
      <c r="I1009">
        <v>67034</v>
      </c>
      <c r="J1009">
        <v>50</v>
      </c>
      <c r="K1009">
        <v>4</v>
      </c>
      <c r="L1009" t="b">
        <v>0</v>
      </c>
      <c r="M1009" s="2" t="s">
        <v>100</v>
      </c>
      <c r="N1009" s="2" t="s">
        <v>100</v>
      </c>
      <c r="O1009" t="b">
        <v>1</v>
      </c>
      <c r="P1009" s="2" t="s">
        <v>100</v>
      </c>
      <c r="Q1009">
        <v>85.960763534790999</v>
      </c>
      <c r="R1009" s="2" t="s">
        <v>100</v>
      </c>
      <c r="S1009">
        <v>8.2372322899505995E-2</v>
      </c>
      <c r="T1009" s="2" t="s">
        <v>100</v>
      </c>
      <c r="U1009" s="2" t="s">
        <v>100</v>
      </c>
      <c r="V1009" t="b">
        <v>0</v>
      </c>
      <c r="W1009" t="b">
        <v>1</v>
      </c>
      <c r="X1009">
        <v>0</v>
      </c>
    </row>
    <row r="1010" spans="3:24" x14ac:dyDescent="0.35">
      <c r="C1010" s="2" t="s">
        <v>90</v>
      </c>
      <c r="D1010" s="3">
        <v>42735</v>
      </c>
      <c r="E1010">
        <v>62.884128796223898</v>
      </c>
      <c r="F1010">
        <v>32.478656964418697</v>
      </c>
      <c r="G1010">
        <v>24.5097146326654</v>
      </c>
      <c r="H1010">
        <v>31.2394060522291</v>
      </c>
      <c r="I1010">
        <v>41393</v>
      </c>
      <c r="J1010">
        <v>66.6666666666666</v>
      </c>
      <c r="K1010">
        <v>4</v>
      </c>
      <c r="L1010" t="b">
        <v>0</v>
      </c>
      <c r="M1010" s="2" t="s">
        <v>100</v>
      </c>
      <c r="N1010" s="2" t="s">
        <v>100</v>
      </c>
      <c r="O1010" t="b">
        <v>1</v>
      </c>
      <c r="P1010" s="2" t="s">
        <v>100</v>
      </c>
      <c r="Q1010">
        <v>18.497865737530599</v>
      </c>
      <c r="R1010" s="2" t="s">
        <v>100</v>
      </c>
      <c r="S1010">
        <v>0</v>
      </c>
      <c r="T1010" s="2" t="s">
        <v>100</v>
      </c>
      <c r="U1010" s="2" t="s">
        <v>100</v>
      </c>
      <c r="V1010" t="b">
        <v>0</v>
      </c>
      <c r="W1010" t="b">
        <v>1</v>
      </c>
      <c r="X1010">
        <v>0</v>
      </c>
    </row>
    <row r="1011" spans="3:24" x14ac:dyDescent="0.35">
      <c r="C1011" s="2" t="s">
        <v>91</v>
      </c>
      <c r="D1011" s="3">
        <v>45808</v>
      </c>
      <c r="E1011">
        <v>62.7706497677963</v>
      </c>
      <c r="F1011">
        <v>55.452636078832398</v>
      </c>
      <c r="G1011">
        <v>66.999954312865498</v>
      </c>
      <c r="H1011">
        <v>61.8611594501536</v>
      </c>
      <c r="I1011">
        <v>974.9</v>
      </c>
      <c r="J1011">
        <v>72.727272727272705</v>
      </c>
      <c r="K1011">
        <v>11</v>
      </c>
      <c r="L1011" t="b">
        <v>1</v>
      </c>
      <c r="M1011" s="2" t="s">
        <v>100</v>
      </c>
      <c r="N1011" s="2" t="s">
        <v>100</v>
      </c>
      <c r="O1011" t="b">
        <v>1</v>
      </c>
      <c r="P1011" s="2" t="s">
        <v>100</v>
      </c>
      <c r="Q1011">
        <v>69.909916611739803</v>
      </c>
      <c r="R1011" t="b">
        <v>0</v>
      </c>
      <c r="S1011">
        <v>86.513994910941406</v>
      </c>
      <c r="T1011" s="2" t="s">
        <v>100</v>
      </c>
      <c r="U1011" s="2" t="s">
        <v>100</v>
      </c>
      <c r="V1011" t="b">
        <v>1</v>
      </c>
      <c r="W1011" t="b">
        <v>1</v>
      </c>
      <c r="X1011">
        <v>54.418604651162703</v>
      </c>
    </row>
    <row r="1012" spans="3:24" x14ac:dyDescent="0.35">
      <c r="C1012" s="2" t="s">
        <v>91</v>
      </c>
      <c r="D1012" s="3">
        <v>45443</v>
      </c>
      <c r="E1012">
        <v>63.542336463265499</v>
      </c>
      <c r="F1012">
        <v>55.721641251306501</v>
      </c>
      <c r="G1012">
        <v>58.487040962531097</v>
      </c>
      <c r="H1012">
        <v>58.105292778421102</v>
      </c>
      <c r="I1012">
        <v>454.1</v>
      </c>
      <c r="J1012">
        <v>69.230769230769198</v>
      </c>
      <c r="K1012">
        <v>11</v>
      </c>
      <c r="L1012" t="b">
        <v>1</v>
      </c>
      <c r="M1012" s="2" t="s">
        <v>100</v>
      </c>
      <c r="N1012" s="2" t="s">
        <v>100</v>
      </c>
      <c r="O1012" t="b">
        <v>1</v>
      </c>
      <c r="P1012" s="2" t="s">
        <v>100</v>
      </c>
      <c r="Q1012">
        <v>70.2374273937494</v>
      </c>
      <c r="R1012" t="b">
        <v>0</v>
      </c>
      <c r="S1012">
        <v>88.874345549738194</v>
      </c>
      <c r="T1012" s="2" t="s">
        <v>100</v>
      </c>
      <c r="U1012" s="2" t="s">
        <v>100</v>
      </c>
      <c r="V1012" t="b">
        <v>1</v>
      </c>
      <c r="W1012" t="b">
        <v>1</v>
      </c>
      <c r="X1012">
        <v>53.1941031941031</v>
      </c>
    </row>
    <row r="1013" spans="3:24" x14ac:dyDescent="0.35">
      <c r="C1013" s="2" t="s">
        <v>91</v>
      </c>
      <c r="D1013" s="3">
        <v>45077</v>
      </c>
      <c r="E1013">
        <v>26.578953123901101</v>
      </c>
      <c r="F1013">
        <v>58.518366645346099</v>
      </c>
      <c r="G1013">
        <v>59.2204831544706</v>
      </c>
      <c r="H1013">
        <v>54.3775703797616</v>
      </c>
      <c r="I1013">
        <v>1124</v>
      </c>
      <c r="J1013">
        <v>75</v>
      </c>
      <c r="K1013">
        <v>12</v>
      </c>
      <c r="L1013" t="b">
        <v>1</v>
      </c>
      <c r="M1013" s="2" t="s">
        <v>100</v>
      </c>
      <c r="N1013" s="2" t="s">
        <v>100</v>
      </c>
      <c r="O1013" t="b">
        <v>1</v>
      </c>
      <c r="P1013" s="2" t="s">
        <v>100</v>
      </c>
      <c r="Q1013">
        <v>71.154811864450707</v>
      </c>
      <c r="R1013" t="b">
        <v>0</v>
      </c>
      <c r="S1013">
        <v>90.027322404371503</v>
      </c>
      <c r="T1013" s="2" t="s">
        <v>100</v>
      </c>
      <c r="U1013" s="2" t="s">
        <v>100</v>
      </c>
      <c r="V1013" t="b">
        <v>1</v>
      </c>
      <c r="W1013" t="b">
        <v>1</v>
      </c>
      <c r="X1013">
        <v>54.145728643216103</v>
      </c>
    </row>
    <row r="1014" spans="3:24" x14ac:dyDescent="0.35">
      <c r="C1014" s="2" t="s">
        <v>91</v>
      </c>
      <c r="D1014" s="3">
        <v>44712</v>
      </c>
      <c r="E1014">
        <v>15.0120250120249</v>
      </c>
      <c r="F1014">
        <v>60.054815518815701</v>
      </c>
      <c r="G1014">
        <v>69.296546546546494</v>
      </c>
      <c r="H1014">
        <v>58.063107999709104</v>
      </c>
      <c r="I1014">
        <v>1120.56</v>
      </c>
      <c r="J1014">
        <v>64.285714285714207</v>
      </c>
      <c r="K1014">
        <v>12</v>
      </c>
      <c r="L1014" t="b">
        <v>0</v>
      </c>
      <c r="M1014" s="2" t="s">
        <v>100</v>
      </c>
      <c r="N1014" s="2" t="s">
        <v>100</v>
      </c>
      <c r="O1014" t="b">
        <v>1</v>
      </c>
      <c r="P1014" s="2" t="s">
        <v>100</v>
      </c>
      <c r="Q1014">
        <v>73.521960578472303</v>
      </c>
      <c r="R1014" t="b">
        <v>0</v>
      </c>
      <c r="S1014">
        <v>91.3888888888888</v>
      </c>
      <c r="T1014" s="2" t="s">
        <v>100</v>
      </c>
      <c r="U1014" s="2" t="s">
        <v>100</v>
      </c>
      <c r="V1014" t="b">
        <v>1</v>
      </c>
      <c r="W1014" t="b">
        <v>1</v>
      </c>
      <c r="X1014">
        <v>55.236907730673302</v>
      </c>
    </row>
    <row r="1015" spans="3:24" x14ac:dyDescent="0.35">
      <c r="C1015" s="2" t="s">
        <v>91</v>
      </c>
      <c r="D1015" s="3">
        <v>44347</v>
      </c>
      <c r="E1015">
        <v>18.3254922779333</v>
      </c>
      <c r="F1015">
        <v>65.374723768596894</v>
      </c>
      <c r="G1015">
        <v>72.183102773129093</v>
      </c>
      <c r="H1015">
        <v>61.967598691705597</v>
      </c>
      <c r="I1015">
        <v>2926.37</v>
      </c>
      <c r="J1015">
        <v>60</v>
      </c>
      <c r="K1015">
        <v>13</v>
      </c>
      <c r="L1015" t="b">
        <v>0</v>
      </c>
      <c r="M1015" s="2" t="s">
        <v>100</v>
      </c>
      <c r="N1015" s="2" t="s">
        <v>100</v>
      </c>
      <c r="O1015" t="b">
        <v>1</v>
      </c>
      <c r="P1015" s="2" t="s">
        <v>100</v>
      </c>
      <c r="Q1015">
        <v>75.621147307915805</v>
      </c>
      <c r="R1015" t="b">
        <v>0</v>
      </c>
      <c r="S1015">
        <v>91.428571428571402</v>
      </c>
      <c r="T1015" s="2" t="s">
        <v>100</v>
      </c>
      <c r="U1015" s="2" t="s">
        <v>100</v>
      </c>
      <c r="V1015" t="b">
        <v>1</v>
      </c>
      <c r="W1015" t="b">
        <v>1</v>
      </c>
      <c r="X1015">
        <v>57.123287671232802</v>
      </c>
    </row>
    <row r="1016" spans="3:24" x14ac:dyDescent="0.35">
      <c r="C1016" s="2" t="s">
        <v>91</v>
      </c>
      <c r="D1016" s="3">
        <v>43982</v>
      </c>
      <c r="E1016">
        <v>12.7715821548421</v>
      </c>
      <c r="F1016">
        <v>54.6112443675378</v>
      </c>
      <c r="G1016">
        <v>81.258852258852201</v>
      </c>
      <c r="H1016">
        <v>61.184373022851297</v>
      </c>
      <c r="I1016">
        <v>3324.12</v>
      </c>
      <c r="J1016">
        <v>69.230769230769198</v>
      </c>
      <c r="K1016">
        <v>11</v>
      </c>
      <c r="L1016" t="b">
        <v>0</v>
      </c>
      <c r="M1016" s="2" t="s">
        <v>100</v>
      </c>
      <c r="N1016" s="2" t="s">
        <v>100</v>
      </c>
      <c r="O1016" t="b">
        <v>1</v>
      </c>
      <c r="P1016" s="2" t="s">
        <v>100</v>
      </c>
      <c r="Q1016">
        <v>78.200069035947806</v>
      </c>
      <c r="R1016" t="b">
        <v>0</v>
      </c>
      <c r="S1016">
        <v>92.264150943396203</v>
      </c>
      <c r="T1016" s="2" t="s">
        <v>100</v>
      </c>
      <c r="U1016" s="2" t="s">
        <v>100</v>
      </c>
      <c r="V1016" t="b">
        <v>0</v>
      </c>
      <c r="W1016" t="b">
        <v>1</v>
      </c>
      <c r="X1016">
        <v>59.908536585365802</v>
      </c>
    </row>
    <row r="1017" spans="3:24" x14ac:dyDescent="0.35">
      <c r="C1017" s="2" t="s">
        <v>91</v>
      </c>
      <c r="D1017" s="3">
        <v>43616</v>
      </c>
      <c r="E1017">
        <v>25.9188640646361</v>
      </c>
      <c r="F1017">
        <v>53.663051550559601</v>
      </c>
      <c r="G1017">
        <v>71.672498412148499</v>
      </c>
      <c r="H1017">
        <v>56.203990530972398</v>
      </c>
      <c r="I1017">
        <v>3149</v>
      </c>
      <c r="J1017">
        <v>50</v>
      </c>
      <c r="K1017">
        <v>10</v>
      </c>
      <c r="L1017" t="b">
        <v>0</v>
      </c>
      <c r="M1017" s="2" t="s">
        <v>100</v>
      </c>
      <c r="N1017" s="2" t="s">
        <v>100</v>
      </c>
      <c r="O1017" t="b">
        <v>1</v>
      </c>
      <c r="P1017" s="2" t="s">
        <v>100</v>
      </c>
      <c r="Q1017">
        <v>80.269779293880703</v>
      </c>
      <c r="R1017" t="b">
        <v>0</v>
      </c>
      <c r="S1017">
        <v>96.428571428571402</v>
      </c>
      <c r="T1017" s="2" t="s">
        <v>100</v>
      </c>
      <c r="U1017" s="2" t="s">
        <v>100</v>
      </c>
      <c r="V1017" t="b">
        <v>0</v>
      </c>
      <c r="W1017" t="b">
        <v>1</v>
      </c>
      <c r="X1017">
        <v>58.305084745762699</v>
      </c>
    </row>
    <row r="1018" spans="3:24" x14ac:dyDescent="0.35">
      <c r="C1018" s="2" t="s">
        <v>91</v>
      </c>
      <c r="D1018" s="3">
        <v>43251</v>
      </c>
      <c r="E1018">
        <v>26.725410903288999</v>
      </c>
      <c r="F1018">
        <v>53.452713141972502</v>
      </c>
      <c r="G1018">
        <v>69.510494818053104</v>
      </c>
      <c r="H1018">
        <v>54.999148249889103</v>
      </c>
      <c r="I1018">
        <v>3228</v>
      </c>
      <c r="J1018">
        <v>62.5</v>
      </c>
      <c r="K1018">
        <v>8</v>
      </c>
      <c r="L1018" t="b">
        <v>0</v>
      </c>
      <c r="M1018" s="2" t="s">
        <v>100</v>
      </c>
      <c r="N1018" s="2" t="s">
        <v>100</v>
      </c>
      <c r="O1018" t="b">
        <v>1</v>
      </c>
      <c r="P1018" s="2" t="s">
        <v>100</v>
      </c>
      <c r="Q1018">
        <v>82.220517481419506</v>
      </c>
      <c r="R1018" s="2" t="s">
        <v>100</v>
      </c>
      <c r="S1018">
        <v>96.039603960395993</v>
      </c>
      <c r="T1018" s="2" t="s">
        <v>100</v>
      </c>
      <c r="U1018" s="2" t="s">
        <v>100</v>
      </c>
      <c r="V1018" t="b">
        <v>0</v>
      </c>
      <c r="W1018" t="b">
        <v>1</v>
      </c>
      <c r="X1018">
        <v>59.677419354838698</v>
      </c>
    </row>
    <row r="1019" spans="3:24" x14ac:dyDescent="0.35">
      <c r="C1019" s="2" t="s">
        <v>91</v>
      </c>
      <c r="D1019" s="3">
        <v>42886</v>
      </c>
      <c r="E1019">
        <v>27.915593426298098</v>
      </c>
      <c r="F1019">
        <v>53.874984664458303</v>
      </c>
      <c r="G1019">
        <v>70.924966879441101</v>
      </c>
      <c r="H1019">
        <v>55.8801863578636</v>
      </c>
      <c r="I1019">
        <v>3808.3</v>
      </c>
      <c r="J1019">
        <v>62.5</v>
      </c>
      <c r="K1019">
        <v>8</v>
      </c>
      <c r="L1019" t="b">
        <v>0</v>
      </c>
      <c r="M1019" s="2" t="s">
        <v>100</v>
      </c>
      <c r="N1019" s="2" t="s">
        <v>100</v>
      </c>
      <c r="O1019" t="b">
        <v>1</v>
      </c>
      <c r="P1019" s="2" t="s">
        <v>100</v>
      </c>
      <c r="Q1019">
        <v>85.960763534790999</v>
      </c>
      <c r="R1019" s="2" t="s">
        <v>100</v>
      </c>
      <c r="S1019">
        <v>94.848484848484802</v>
      </c>
      <c r="T1019" s="2" t="s">
        <v>100</v>
      </c>
      <c r="U1019" s="2" t="s">
        <v>100</v>
      </c>
      <c r="V1019" t="b">
        <v>0</v>
      </c>
      <c r="W1019" t="b">
        <v>1</v>
      </c>
      <c r="X1019">
        <v>63.738738738738697</v>
      </c>
    </row>
    <row r="1020" spans="3:24" x14ac:dyDescent="0.35">
      <c r="C1020" s="2" t="s">
        <v>91</v>
      </c>
      <c r="D1020" s="3">
        <v>42521</v>
      </c>
      <c r="E1020">
        <v>28.753721466802499</v>
      </c>
      <c r="F1020">
        <v>33.689251060612399</v>
      </c>
      <c r="G1020">
        <v>72.979384003974104</v>
      </c>
      <c r="H1020">
        <v>48.867432297497601</v>
      </c>
      <c r="I1020">
        <v>4399</v>
      </c>
      <c r="J1020">
        <v>60</v>
      </c>
      <c r="K1020">
        <v>7</v>
      </c>
      <c r="L1020" t="b">
        <v>0</v>
      </c>
      <c r="M1020" s="2" t="s">
        <v>100</v>
      </c>
      <c r="N1020" s="2" t="s">
        <v>100</v>
      </c>
      <c r="O1020" t="b">
        <v>1</v>
      </c>
      <c r="P1020" s="2" t="s">
        <v>100</v>
      </c>
      <c r="Q1020">
        <v>18.497865737530599</v>
      </c>
      <c r="R1020" s="2" t="s">
        <v>100</v>
      </c>
      <c r="S1020">
        <v>48.571428571428498</v>
      </c>
      <c r="T1020" s="2" t="s">
        <v>100</v>
      </c>
      <c r="U1020" s="2" t="s">
        <v>100</v>
      </c>
      <c r="V1020" t="b">
        <v>0</v>
      </c>
      <c r="W1020" t="b">
        <v>1</v>
      </c>
      <c r="X1020">
        <v>63.315217391304301</v>
      </c>
    </row>
    <row r="1021" spans="3:24" x14ac:dyDescent="0.35">
      <c r="C1021" s="2" t="s">
        <v>92</v>
      </c>
      <c r="D1021" s="3">
        <v>45657</v>
      </c>
      <c r="E1021">
        <v>48.034273510068402</v>
      </c>
      <c r="F1021">
        <v>91.575265033717102</v>
      </c>
      <c r="G1021">
        <v>62.821825093066899</v>
      </c>
      <c r="H1021">
        <v>73.944401805566301</v>
      </c>
      <c r="I1021">
        <v>35684</v>
      </c>
      <c r="J1021">
        <v>77.7777777777777</v>
      </c>
      <c r="K1021">
        <v>9</v>
      </c>
      <c r="L1021" t="b">
        <v>1</v>
      </c>
      <c r="M1021">
        <v>14640</v>
      </c>
      <c r="N1021" s="2" t="s">
        <v>100</v>
      </c>
      <c r="O1021" t="b">
        <v>1</v>
      </c>
      <c r="P1021" s="2" t="s">
        <v>100</v>
      </c>
      <c r="Q1021">
        <v>70.2374273937494</v>
      </c>
      <c r="R1021" t="b">
        <v>0</v>
      </c>
      <c r="S1021">
        <v>92.1450151057401</v>
      </c>
      <c r="T1021">
        <v>0.8</v>
      </c>
      <c r="U1021" s="2" t="s">
        <v>100</v>
      </c>
      <c r="V1021" t="b">
        <v>1</v>
      </c>
      <c r="W1021" t="b">
        <v>1</v>
      </c>
      <c r="X1021">
        <v>52.395209580838298</v>
      </c>
    </row>
    <row r="1022" spans="3:24" x14ac:dyDescent="0.35">
      <c r="C1022" s="2" t="s">
        <v>92</v>
      </c>
      <c r="D1022" s="3">
        <v>45291</v>
      </c>
      <c r="E1022">
        <v>47.9337694495105</v>
      </c>
      <c r="F1022">
        <v>92.277211294595404</v>
      </c>
      <c r="G1022">
        <v>70.842141306012806</v>
      </c>
      <c r="H1022">
        <v>77.141159971377803</v>
      </c>
      <c r="I1022">
        <v>38062</v>
      </c>
      <c r="J1022">
        <v>70</v>
      </c>
      <c r="K1022">
        <v>9</v>
      </c>
      <c r="L1022" t="b">
        <v>1</v>
      </c>
      <c r="M1022">
        <v>17449</v>
      </c>
      <c r="N1022" s="2" t="s">
        <v>100</v>
      </c>
      <c r="O1022" t="b">
        <v>1</v>
      </c>
      <c r="P1022" s="2" t="s">
        <v>100</v>
      </c>
      <c r="Q1022">
        <v>71.154811864450707</v>
      </c>
      <c r="R1022" t="b">
        <v>0</v>
      </c>
      <c r="S1022">
        <v>92.660550458715605</v>
      </c>
      <c r="T1022">
        <v>1.1000000000000001</v>
      </c>
      <c r="U1022" s="2" t="s">
        <v>100</v>
      </c>
      <c r="V1022" t="b">
        <v>1</v>
      </c>
      <c r="W1022" t="b">
        <v>1</v>
      </c>
      <c r="X1022">
        <v>53.603603603603602</v>
      </c>
    </row>
    <row r="1023" spans="3:24" x14ac:dyDescent="0.35">
      <c r="C1023" s="2" t="s">
        <v>92</v>
      </c>
      <c r="D1023" s="3">
        <v>44926</v>
      </c>
      <c r="E1023">
        <v>51.144811729489099</v>
      </c>
      <c r="F1023">
        <v>86.551566504910198</v>
      </c>
      <c r="G1023">
        <v>70.486642892892803</v>
      </c>
      <c r="H1023">
        <v>74.843275783755502</v>
      </c>
      <c r="I1023">
        <v>37605</v>
      </c>
      <c r="J1023">
        <v>69.230769230769198</v>
      </c>
      <c r="K1023">
        <v>10</v>
      </c>
      <c r="L1023" t="b">
        <v>1</v>
      </c>
      <c r="M1023">
        <v>18938</v>
      </c>
      <c r="N1023" s="2" t="s">
        <v>100</v>
      </c>
      <c r="O1023" t="b">
        <v>1</v>
      </c>
      <c r="P1023" s="2" t="s">
        <v>100</v>
      </c>
      <c r="Q1023">
        <v>73.521960578472303</v>
      </c>
      <c r="R1023" t="b">
        <v>0</v>
      </c>
      <c r="S1023">
        <v>92.705167173252207</v>
      </c>
      <c r="T1023">
        <v>1</v>
      </c>
      <c r="U1023" s="2" t="s">
        <v>100</v>
      </c>
      <c r="V1023" t="b">
        <v>1</v>
      </c>
      <c r="W1023" t="b">
        <v>1</v>
      </c>
      <c r="X1023">
        <v>55.044510385756602</v>
      </c>
    </row>
    <row r="1024" spans="3:24" x14ac:dyDescent="0.35">
      <c r="C1024" s="2" t="s">
        <v>92</v>
      </c>
      <c r="D1024" s="3">
        <v>44561</v>
      </c>
      <c r="E1024">
        <v>47.752231906826403</v>
      </c>
      <c r="F1024">
        <v>89.213393395090506</v>
      </c>
      <c r="G1024">
        <v>71.771649298474998</v>
      </c>
      <c r="H1024">
        <v>75.995326524022701</v>
      </c>
      <c r="I1024">
        <v>40803</v>
      </c>
      <c r="J1024">
        <v>70</v>
      </c>
      <c r="K1024">
        <v>10</v>
      </c>
      <c r="L1024" t="b">
        <v>1</v>
      </c>
      <c r="M1024">
        <v>22277</v>
      </c>
      <c r="N1024" s="2" t="s">
        <v>100</v>
      </c>
      <c r="O1024" t="b">
        <v>1</v>
      </c>
      <c r="P1024" s="2" t="s">
        <v>100</v>
      </c>
      <c r="Q1024">
        <v>75.621147307915805</v>
      </c>
      <c r="R1024" s="2" t="s">
        <v>100</v>
      </c>
      <c r="S1024">
        <v>92.760942760942697</v>
      </c>
      <c r="T1024">
        <v>1.5</v>
      </c>
      <c r="U1024" s="2" t="s">
        <v>100</v>
      </c>
      <c r="V1024" t="b">
        <v>1</v>
      </c>
      <c r="W1024" t="b">
        <v>1</v>
      </c>
      <c r="X1024">
        <v>56.148867313915801</v>
      </c>
    </row>
    <row r="1025" spans="3:24" x14ac:dyDescent="0.35">
      <c r="C1025" s="2" t="s">
        <v>92</v>
      </c>
      <c r="D1025" s="3">
        <v>44196</v>
      </c>
      <c r="E1025">
        <v>45.407998244175097</v>
      </c>
      <c r="F1025">
        <v>93.027994328171005</v>
      </c>
      <c r="G1025">
        <v>65.139194139194103</v>
      </c>
      <c r="H1025">
        <v>75.023875156371503</v>
      </c>
      <c r="I1025">
        <v>32777</v>
      </c>
      <c r="J1025">
        <v>72.727272727272705</v>
      </c>
      <c r="K1025">
        <v>10</v>
      </c>
      <c r="L1025" t="b">
        <v>1</v>
      </c>
      <c r="M1025">
        <v>19335</v>
      </c>
      <c r="N1025" s="2" t="s">
        <v>100</v>
      </c>
      <c r="O1025" t="b">
        <v>1</v>
      </c>
      <c r="P1025" s="2" t="s">
        <v>100</v>
      </c>
      <c r="Q1025">
        <v>78.200069035947806</v>
      </c>
      <c r="R1025" s="2" t="s">
        <v>100</v>
      </c>
      <c r="S1025">
        <v>91.793893129770893</v>
      </c>
      <c r="T1025">
        <v>1.1499999999999999</v>
      </c>
      <c r="U1025">
        <v>86</v>
      </c>
      <c r="V1025" t="b">
        <v>1</v>
      </c>
      <c r="W1025" t="b">
        <v>1</v>
      </c>
      <c r="X1025">
        <v>57.017543859649102</v>
      </c>
    </row>
    <row r="1026" spans="3:24" x14ac:dyDescent="0.35">
      <c r="C1026" s="2" t="s">
        <v>92</v>
      </c>
      <c r="D1026" s="3">
        <v>43830</v>
      </c>
      <c r="E1026">
        <v>44.374870224252497</v>
      </c>
      <c r="F1026">
        <v>88.136861012269307</v>
      </c>
      <c r="G1026">
        <v>58.334141694093198</v>
      </c>
      <c r="H1026">
        <v>70.091957412538406</v>
      </c>
      <c r="I1026">
        <v>32364</v>
      </c>
      <c r="J1026">
        <v>72.727272727272705</v>
      </c>
      <c r="K1026">
        <v>8</v>
      </c>
      <c r="L1026" t="b">
        <v>1</v>
      </c>
      <c r="M1026">
        <v>19525</v>
      </c>
      <c r="N1026" s="2" t="s">
        <v>100</v>
      </c>
      <c r="O1026" t="b">
        <v>1</v>
      </c>
      <c r="P1026" s="2" t="s">
        <v>100</v>
      </c>
      <c r="Q1026">
        <v>80.269779293880703</v>
      </c>
      <c r="R1026" s="2" t="s">
        <v>100</v>
      </c>
      <c r="S1026">
        <v>81.919642857142804</v>
      </c>
      <c r="T1026">
        <v>1.35</v>
      </c>
      <c r="U1026" s="2" t="s">
        <v>100</v>
      </c>
      <c r="V1026" t="b">
        <v>1</v>
      </c>
      <c r="W1026" t="b">
        <v>1</v>
      </c>
      <c r="X1026">
        <v>56.25</v>
      </c>
    </row>
    <row r="1027" spans="3:24" x14ac:dyDescent="0.35">
      <c r="C1027" s="2" t="s">
        <v>92</v>
      </c>
      <c r="D1027" s="3">
        <v>43465</v>
      </c>
      <c r="E1027">
        <v>38.298887492435803</v>
      </c>
      <c r="F1027">
        <v>88.924619961668199</v>
      </c>
      <c r="G1027">
        <v>70.129899700581703</v>
      </c>
      <c r="H1027">
        <v>73.683879094580107</v>
      </c>
      <c r="I1027">
        <v>36092</v>
      </c>
      <c r="J1027">
        <v>63.636363636363598</v>
      </c>
      <c r="K1027">
        <v>9</v>
      </c>
      <c r="L1027" t="b">
        <v>1</v>
      </c>
      <c r="M1027">
        <v>17277</v>
      </c>
      <c r="N1027" s="2" t="s">
        <v>100</v>
      </c>
      <c r="O1027" t="b">
        <v>1</v>
      </c>
      <c r="P1027" s="2" t="s">
        <v>100</v>
      </c>
      <c r="Q1027">
        <v>82.220517481419506</v>
      </c>
      <c r="R1027" s="2" t="s">
        <v>100</v>
      </c>
      <c r="S1027">
        <v>85.751295336787507</v>
      </c>
      <c r="T1027">
        <v>1.65</v>
      </c>
      <c r="U1027" s="2" t="s">
        <v>100</v>
      </c>
      <c r="V1027" t="b">
        <v>1</v>
      </c>
      <c r="W1027" t="b">
        <v>1</v>
      </c>
      <c r="X1027">
        <v>56.490384615384599</v>
      </c>
    </row>
    <row r="1028" spans="3:24" x14ac:dyDescent="0.35">
      <c r="C1028" s="2" t="s">
        <v>92</v>
      </c>
      <c r="D1028" s="3">
        <v>43100</v>
      </c>
      <c r="E1028">
        <v>36.434025086827901</v>
      </c>
      <c r="F1028">
        <v>90.408267715722403</v>
      </c>
      <c r="G1028">
        <v>43.876628575072097</v>
      </c>
      <c r="H1028">
        <v>64.640739919027297</v>
      </c>
      <c r="I1028">
        <v>34527</v>
      </c>
      <c r="J1028">
        <v>50</v>
      </c>
      <c r="K1028">
        <v>10</v>
      </c>
      <c r="L1028" t="b">
        <v>0</v>
      </c>
      <c r="M1028">
        <v>24172</v>
      </c>
      <c r="N1028" s="2" t="s">
        <v>100</v>
      </c>
      <c r="O1028" t="b">
        <v>1</v>
      </c>
      <c r="P1028" s="2" t="s">
        <v>100</v>
      </c>
      <c r="Q1028">
        <v>85.960763534790999</v>
      </c>
      <c r="R1028" s="2" t="s">
        <v>100</v>
      </c>
      <c r="S1028">
        <v>87.125748502994</v>
      </c>
      <c r="T1028">
        <v>2.85</v>
      </c>
      <c r="U1028" s="2" t="s">
        <v>100</v>
      </c>
      <c r="V1028" t="b">
        <v>1</v>
      </c>
      <c r="W1028" t="b">
        <v>1</v>
      </c>
      <c r="X1028">
        <v>57.303370786516801</v>
      </c>
    </row>
    <row r="1029" spans="3:24" x14ac:dyDescent="0.35">
      <c r="C1029" s="2" t="s">
        <v>92</v>
      </c>
      <c r="D1029" s="3">
        <v>42735</v>
      </c>
      <c r="E1029">
        <v>15.908438576349001</v>
      </c>
      <c r="F1029">
        <v>78.8145119958225</v>
      </c>
      <c r="G1029">
        <v>33.4413810233482</v>
      </c>
      <c r="H1029">
        <v>51.965662210830097</v>
      </c>
      <c r="I1029">
        <v>30807</v>
      </c>
      <c r="J1029">
        <v>44.4444444444444</v>
      </c>
      <c r="K1029">
        <v>9</v>
      </c>
      <c r="L1029" t="b">
        <v>0</v>
      </c>
      <c r="M1029" s="2" t="s">
        <v>100</v>
      </c>
      <c r="N1029" s="2" t="s">
        <v>100</v>
      </c>
      <c r="O1029" t="b">
        <v>1</v>
      </c>
      <c r="P1029" s="2" t="s">
        <v>100</v>
      </c>
      <c r="Q1029">
        <v>86.761782529177495</v>
      </c>
      <c r="R1029" s="2" t="s">
        <v>100</v>
      </c>
      <c r="S1029">
        <v>69.318181818181799</v>
      </c>
      <c r="T1029">
        <v>1.3</v>
      </c>
      <c r="U1029" s="2" t="s">
        <v>100</v>
      </c>
      <c r="V1029" t="b">
        <v>1</v>
      </c>
      <c r="W1029" t="b">
        <v>1</v>
      </c>
      <c r="X1029">
        <v>57.664233576642303</v>
      </c>
    </row>
    <row r="1030" spans="3:24" x14ac:dyDescent="0.35">
      <c r="C1030" s="2" t="s">
        <v>92</v>
      </c>
      <c r="D1030" s="3">
        <v>42369</v>
      </c>
      <c r="E1030" s="2" t="s">
        <v>100</v>
      </c>
      <c r="F1030" s="2" t="s">
        <v>100</v>
      </c>
      <c r="G1030" s="2" t="s">
        <v>100</v>
      </c>
      <c r="H1030" s="2" t="s">
        <v>100</v>
      </c>
      <c r="I1030" s="2" t="s">
        <v>100</v>
      </c>
      <c r="J1030" s="2" t="s">
        <v>100</v>
      </c>
      <c r="K1030" s="2" t="s">
        <v>100</v>
      </c>
      <c r="L1030" s="2" t="s">
        <v>100</v>
      </c>
      <c r="M1030" s="2" t="s">
        <v>100</v>
      </c>
      <c r="N1030" s="2" t="s">
        <v>100</v>
      </c>
      <c r="O1030" s="2" t="s">
        <v>100</v>
      </c>
      <c r="P1030" s="2" t="s">
        <v>100</v>
      </c>
      <c r="Q1030" s="2" t="s">
        <v>100</v>
      </c>
      <c r="R1030" s="2" t="s">
        <v>100</v>
      </c>
      <c r="S1030" s="2" t="s">
        <v>100</v>
      </c>
      <c r="T1030" s="2" t="s">
        <v>100</v>
      </c>
      <c r="U1030" s="2" t="s">
        <v>100</v>
      </c>
      <c r="V1030" s="2" t="s">
        <v>100</v>
      </c>
      <c r="W1030" s="2" t="s">
        <v>100</v>
      </c>
      <c r="X1030" s="2" t="s">
        <v>100</v>
      </c>
    </row>
    <row r="1031" spans="3:24" x14ac:dyDescent="0.35">
      <c r="C1031" s="2" t="s">
        <v>93</v>
      </c>
      <c r="D1031" s="3">
        <v>46022</v>
      </c>
      <c r="E1031">
        <v>63.369175941970099</v>
      </c>
      <c r="F1031">
        <v>65.655570620949007</v>
      </c>
      <c r="G1031">
        <v>74.623157285575104</v>
      </c>
      <c r="H1031">
        <v>67.428204084514206</v>
      </c>
      <c r="I1031">
        <v>151762</v>
      </c>
      <c r="J1031">
        <v>77.7777777777777</v>
      </c>
      <c r="K1031">
        <v>9</v>
      </c>
      <c r="L1031" t="b">
        <v>1</v>
      </c>
      <c r="M1031" s="2" t="s">
        <v>100</v>
      </c>
      <c r="N1031" s="2" t="s">
        <v>100</v>
      </c>
      <c r="O1031" t="b">
        <v>1</v>
      </c>
      <c r="P1031" s="2" t="s">
        <v>100</v>
      </c>
      <c r="Q1031">
        <v>69.909916611739803</v>
      </c>
      <c r="R1031" t="b">
        <v>0</v>
      </c>
      <c r="S1031">
        <v>64.074074074074105</v>
      </c>
      <c r="T1031" s="2" t="s">
        <v>100</v>
      </c>
      <c r="U1031" s="2" t="s">
        <v>100</v>
      </c>
      <c r="V1031" t="b">
        <v>1</v>
      </c>
      <c r="W1031" t="b">
        <v>1</v>
      </c>
      <c r="X1031">
        <v>52.7165932452276</v>
      </c>
    </row>
    <row r="1032" spans="3:24" x14ac:dyDescent="0.35">
      <c r="C1032" s="2" t="s">
        <v>93</v>
      </c>
      <c r="D1032" s="3">
        <v>45657</v>
      </c>
      <c r="E1032">
        <v>64.880828446247193</v>
      </c>
      <c r="F1032">
        <v>66.453294714243896</v>
      </c>
      <c r="G1032">
        <v>80.381549850504101</v>
      </c>
      <c r="H1032">
        <v>69.882777642470998</v>
      </c>
      <c r="I1032">
        <v>158114</v>
      </c>
      <c r="J1032">
        <v>83.3333333333333</v>
      </c>
      <c r="K1032">
        <v>9</v>
      </c>
      <c r="L1032" t="b">
        <v>1</v>
      </c>
      <c r="M1032" s="2" t="s">
        <v>100</v>
      </c>
      <c r="N1032" s="2" t="s">
        <v>100</v>
      </c>
      <c r="O1032" t="b">
        <v>1</v>
      </c>
      <c r="P1032" s="2" t="s">
        <v>100</v>
      </c>
      <c r="Q1032">
        <v>70.2374273937494</v>
      </c>
      <c r="R1032" t="b">
        <v>0</v>
      </c>
      <c r="S1032">
        <v>67.507418397626097</v>
      </c>
      <c r="T1032" s="2" t="s">
        <v>100</v>
      </c>
      <c r="U1032" s="2" t="s">
        <v>100</v>
      </c>
      <c r="V1032" t="b">
        <v>1</v>
      </c>
      <c r="W1032" t="b">
        <v>1</v>
      </c>
      <c r="X1032">
        <v>53.717201166180701</v>
      </c>
    </row>
    <row r="1033" spans="3:24" x14ac:dyDescent="0.35">
      <c r="C1033" s="2" t="s">
        <v>93</v>
      </c>
      <c r="D1033" s="3">
        <v>45291</v>
      </c>
      <c r="E1033">
        <v>66.925258768705106</v>
      </c>
      <c r="F1033">
        <v>68.647184677593103</v>
      </c>
      <c r="G1033">
        <v>77.870858450697895</v>
      </c>
      <c r="H1033">
        <v>70.685674049173798</v>
      </c>
      <c r="I1033">
        <v>159790</v>
      </c>
      <c r="J1033">
        <v>84.615384615384599</v>
      </c>
      <c r="K1033">
        <v>10</v>
      </c>
      <c r="L1033" t="b">
        <v>1</v>
      </c>
      <c r="M1033" s="2" t="s">
        <v>100</v>
      </c>
      <c r="N1033" s="2" t="s">
        <v>100</v>
      </c>
      <c r="O1033" t="b">
        <v>1</v>
      </c>
      <c r="P1033" s="2" t="s">
        <v>100</v>
      </c>
      <c r="Q1033">
        <v>71.154811864450707</v>
      </c>
      <c r="R1033" t="b">
        <v>0</v>
      </c>
      <c r="S1033">
        <v>70.627802690582897</v>
      </c>
      <c r="T1033" s="2" t="s">
        <v>100</v>
      </c>
      <c r="U1033" s="2" t="s">
        <v>100</v>
      </c>
      <c r="V1033" t="b">
        <v>1</v>
      </c>
      <c r="W1033" t="b">
        <v>1</v>
      </c>
      <c r="X1033">
        <v>55.947136563876597</v>
      </c>
    </row>
    <row r="1034" spans="3:24" x14ac:dyDescent="0.35">
      <c r="C1034" s="2" t="s">
        <v>93</v>
      </c>
      <c r="D1034" s="3">
        <v>44926</v>
      </c>
      <c r="E1034">
        <v>71.922140389874997</v>
      </c>
      <c r="F1034">
        <v>75.480243128695193</v>
      </c>
      <c r="G1034">
        <v>76.681118618618598</v>
      </c>
      <c r="H1034">
        <v>74.606204199266401</v>
      </c>
      <c r="I1034">
        <v>172833</v>
      </c>
      <c r="J1034">
        <v>84.615384615384599</v>
      </c>
      <c r="K1034">
        <v>12</v>
      </c>
      <c r="L1034" t="b">
        <v>1</v>
      </c>
      <c r="M1034" s="2" t="s">
        <v>100</v>
      </c>
      <c r="N1034" s="2" t="s">
        <v>100</v>
      </c>
      <c r="O1034" t="b">
        <v>1</v>
      </c>
      <c r="P1034" s="2" t="s">
        <v>100</v>
      </c>
      <c r="Q1034">
        <v>73.521960578472303</v>
      </c>
      <c r="R1034" t="b">
        <v>0</v>
      </c>
      <c r="S1034">
        <v>73.6111111111111</v>
      </c>
      <c r="T1034" s="2" t="s">
        <v>100</v>
      </c>
      <c r="U1034" s="2" t="s">
        <v>100</v>
      </c>
      <c r="V1034" t="b">
        <v>1</v>
      </c>
      <c r="W1034" t="b">
        <v>1</v>
      </c>
      <c r="X1034">
        <v>58.382789317507402</v>
      </c>
    </row>
    <row r="1035" spans="3:24" x14ac:dyDescent="0.35">
      <c r="C1035" s="2" t="s">
        <v>93</v>
      </c>
      <c r="D1035" s="3">
        <v>44561</v>
      </c>
      <c r="E1035">
        <v>72.824782396260701</v>
      </c>
      <c r="F1035">
        <v>73.517017582628796</v>
      </c>
      <c r="G1035">
        <v>75.171713052160797</v>
      </c>
      <c r="H1035">
        <v>73.751704899496303</v>
      </c>
      <c r="I1035">
        <v>173801</v>
      </c>
      <c r="J1035">
        <v>81.818181818181799</v>
      </c>
      <c r="K1035">
        <v>11</v>
      </c>
      <c r="L1035" t="b">
        <v>1</v>
      </c>
      <c r="M1035" s="2" t="s">
        <v>100</v>
      </c>
      <c r="N1035" s="2" t="s">
        <v>100</v>
      </c>
      <c r="O1035" t="b">
        <v>1</v>
      </c>
      <c r="P1035" s="2" t="s">
        <v>100</v>
      </c>
      <c r="Q1035">
        <v>75.621147307915805</v>
      </c>
      <c r="R1035" t="b">
        <v>0</v>
      </c>
      <c r="S1035">
        <v>71.862745098039198</v>
      </c>
      <c r="T1035">
        <v>0</v>
      </c>
      <c r="U1035">
        <v>90</v>
      </c>
      <c r="V1035" t="b">
        <v>1</v>
      </c>
      <c r="W1035" t="b">
        <v>1</v>
      </c>
      <c r="X1035">
        <v>57.948243992606201</v>
      </c>
    </row>
    <row r="1036" spans="3:24" x14ac:dyDescent="0.35">
      <c r="C1036" s="2" t="s">
        <v>93</v>
      </c>
      <c r="D1036" s="3">
        <v>44196</v>
      </c>
      <c r="E1036">
        <v>77.247942972547804</v>
      </c>
      <c r="F1036">
        <v>77.407574735585001</v>
      </c>
      <c r="G1036">
        <v>75.939356939356898</v>
      </c>
      <c r="H1036">
        <v>76.934853748026299</v>
      </c>
      <c r="I1036">
        <v>188016</v>
      </c>
      <c r="J1036">
        <v>72.727272727272705</v>
      </c>
      <c r="K1036">
        <v>9</v>
      </c>
      <c r="L1036" t="b">
        <v>1</v>
      </c>
      <c r="M1036" s="2" t="s">
        <v>100</v>
      </c>
      <c r="N1036" s="2" t="s">
        <v>100</v>
      </c>
      <c r="O1036" t="b">
        <v>1</v>
      </c>
      <c r="P1036" s="2" t="s">
        <v>100</v>
      </c>
      <c r="Q1036">
        <v>78.200069035947806</v>
      </c>
      <c r="R1036" t="b">
        <v>0</v>
      </c>
      <c r="S1036">
        <v>71.131639722863696</v>
      </c>
      <c r="T1036" s="2" t="s">
        <v>100</v>
      </c>
      <c r="U1036">
        <v>89</v>
      </c>
      <c r="V1036" t="b">
        <v>1</v>
      </c>
      <c r="W1036" t="b">
        <v>1</v>
      </c>
      <c r="X1036">
        <v>59.748427672955899</v>
      </c>
    </row>
    <row r="1037" spans="3:24" x14ac:dyDescent="0.35">
      <c r="C1037" s="2" t="s">
        <v>93</v>
      </c>
      <c r="D1037" s="3">
        <v>43830</v>
      </c>
      <c r="E1037">
        <v>78.4995822075972</v>
      </c>
      <c r="F1037">
        <v>79.470002327206103</v>
      </c>
      <c r="G1037">
        <v>85.926843351232705</v>
      </c>
      <c r="H1037">
        <v>80.977313464056195</v>
      </c>
      <c r="I1037">
        <v>220622</v>
      </c>
      <c r="J1037">
        <v>72.727272727272705</v>
      </c>
      <c r="K1037">
        <v>11</v>
      </c>
      <c r="L1037" t="b">
        <v>1</v>
      </c>
      <c r="M1037" s="2" t="s">
        <v>100</v>
      </c>
      <c r="N1037" s="2" t="s">
        <v>100</v>
      </c>
      <c r="O1037" t="b">
        <v>1</v>
      </c>
      <c r="P1037" s="2" t="s">
        <v>100</v>
      </c>
      <c r="Q1037">
        <v>80.269779293880703</v>
      </c>
      <c r="R1037" t="b">
        <v>0</v>
      </c>
      <c r="S1037">
        <v>70.754716981132106</v>
      </c>
      <c r="T1037">
        <v>0</v>
      </c>
      <c r="U1037">
        <v>79</v>
      </c>
      <c r="V1037" t="b">
        <v>1</v>
      </c>
      <c r="W1037" t="b">
        <v>1</v>
      </c>
      <c r="X1037">
        <v>58.145363408521298</v>
      </c>
    </row>
    <row r="1038" spans="3:24" x14ac:dyDescent="0.35">
      <c r="C1038" s="2" t="s">
        <v>93</v>
      </c>
      <c r="D1038" s="3">
        <v>43465</v>
      </c>
      <c r="E1038">
        <v>75.038813096777204</v>
      </c>
      <c r="F1038">
        <v>71.500545711350796</v>
      </c>
      <c r="G1038">
        <v>88.717321098549903</v>
      </c>
      <c r="H1038">
        <v>77.613338947027898</v>
      </c>
      <c r="I1038">
        <v>246695</v>
      </c>
      <c r="J1038">
        <v>75</v>
      </c>
      <c r="K1038">
        <v>10</v>
      </c>
      <c r="L1038" t="b">
        <v>1</v>
      </c>
      <c r="M1038" s="2" t="s">
        <v>100</v>
      </c>
      <c r="N1038" s="2" t="s">
        <v>100</v>
      </c>
      <c r="O1038" t="b">
        <v>1</v>
      </c>
      <c r="P1038" s="2" t="s">
        <v>100</v>
      </c>
      <c r="Q1038">
        <v>82.220517481419506</v>
      </c>
      <c r="R1038" t="b">
        <v>0</v>
      </c>
      <c r="S1038">
        <v>37.5757575757575</v>
      </c>
      <c r="T1038">
        <v>0.45700000000000002</v>
      </c>
      <c r="U1038">
        <v>77</v>
      </c>
      <c r="V1038" t="b">
        <v>1</v>
      </c>
      <c r="W1038" t="b">
        <v>1</v>
      </c>
      <c r="X1038">
        <v>59.090909090909101</v>
      </c>
    </row>
    <row r="1039" spans="3:24" x14ac:dyDescent="0.35">
      <c r="C1039" s="2" t="s">
        <v>93</v>
      </c>
      <c r="D1039" s="3">
        <v>43100</v>
      </c>
      <c r="E1039">
        <v>73.462966986072999</v>
      </c>
      <c r="F1039">
        <v>68.487059792986301</v>
      </c>
      <c r="G1039">
        <v>89.989798159417902</v>
      </c>
      <c r="H1039">
        <v>76.311883938024906</v>
      </c>
      <c r="I1039">
        <v>144597</v>
      </c>
      <c r="J1039">
        <v>81.818181818181799</v>
      </c>
      <c r="K1039">
        <v>10</v>
      </c>
      <c r="L1039" t="b">
        <v>1</v>
      </c>
      <c r="M1039" s="2" t="s">
        <v>100</v>
      </c>
      <c r="N1039" s="2" t="s">
        <v>100</v>
      </c>
      <c r="O1039" t="b">
        <v>1</v>
      </c>
      <c r="P1039" s="2" t="s">
        <v>100</v>
      </c>
      <c r="Q1039">
        <v>85.960763534790999</v>
      </c>
      <c r="R1039" s="2" t="s">
        <v>100</v>
      </c>
      <c r="S1039">
        <v>43.5483870967741</v>
      </c>
      <c r="T1039">
        <v>0.67100000000000004</v>
      </c>
      <c r="U1039" s="2" t="s">
        <v>100</v>
      </c>
      <c r="V1039" t="b">
        <v>1</v>
      </c>
      <c r="W1039" t="b">
        <v>1</v>
      </c>
      <c r="X1039">
        <v>62.0860927152317</v>
      </c>
    </row>
    <row r="1040" spans="3:24" x14ac:dyDescent="0.35">
      <c r="C1040" s="2" t="s">
        <v>93</v>
      </c>
      <c r="D1040" s="3">
        <v>42735</v>
      </c>
      <c r="E1040">
        <v>68.435041636286897</v>
      </c>
      <c r="F1040">
        <v>68.748020036664002</v>
      </c>
      <c r="G1040">
        <v>81.134431749185794</v>
      </c>
      <c r="H1040">
        <v>72.168828223012795</v>
      </c>
      <c r="I1040">
        <v>136167</v>
      </c>
      <c r="J1040">
        <v>63.636363636363598</v>
      </c>
      <c r="K1040">
        <v>9</v>
      </c>
      <c r="L1040" t="b">
        <v>1</v>
      </c>
      <c r="M1040" s="2" t="s">
        <v>100</v>
      </c>
      <c r="N1040" s="2" t="s">
        <v>100</v>
      </c>
      <c r="O1040" t="b">
        <v>1</v>
      </c>
      <c r="P1040" s="2" t="s">
        <v>100</v>
      </c>
      <c r="Q1040">
        <v>86.761782529177495</v>
      </c>
      <c r="R1040" s="2" t="s">
        <v>100</v>
      </c>
      <c r="S1040">
        <v>44.747081712062197</v>
      </c>
      <c r="T1040">
        <v>1.0960000000000001</v>
      </c>
      <c r="U1040" s="2" t="s">
        <v>100</v>
      </c>
      <c r="V1040" t="b">
        <v>1</v>
      </c>
      <c r="W1040" t="b">
        <v>1</v>
      </c>
      <c r="X1040">
        <v>65.283018867924497</v>
      </c>
    </row>
    <row r="1041" spans="3:24" x14ac:dyDescent="0.35">
      <c r="C1041" s="2" t="s">
        <v>94</v>
      </c>
      <c r="D1041" s="3">
        <v>45657</v>
      </c>
      <c r="E1041">
        <v>84.254536354002397</v>
      </c>
      <c r="F1041">
        <v>68.467375407629802</v>
      </c>
      <c r="G1041">
        <v>75.758380929949496</v>
      </c>
      <c r="H1041">
        <v>73.488732409407405</v>
      </c>
      <c r="I1041">
        <v>27418</v>
      </c>
      <c r="J1041">
        <v>84.615384615384599</v>
      </c>
      <c r="K1041">
        <v>13</v>
      </c>
      <c r="L1041" t="b">
        <v>1</v>
      </c>
      <c r="M1041">
        <v>23964</v>
      </c>
      <c r="N1041" s="2" t="s">
        <v>100</v>
      </c>
      <c r="O1041" t="b">
        <v>1</v>
      </c>
      <c r="P1041" s="2" t="s">
        <v>100</v>
      </c>
      <c r="Q1041">
        <v>70.2374273937494</v>
      </c>
      <c r="R1041" t="b">
        <v>0</v>
      </c>
      <c r="S1041">
        <v>75.581395348837205</v>
      </c>
      <c r="T1041" s="2" t="s">
        <v>100</v>
      </c>
      <c r="U1041">
        <v>80</v>
      </c>
      <c r="V1041" t="b">
        <v>1</v>
      </c>
      <c r="W1041" t="b">
        <v>1</v>
      </c>
      <c r="X1041">
        <v>50.980392156862699</v>
      </c>
    </row>
    <row r="1042" spans="3:24" x14ac:dyDescent="0.35">
      <c r="C1042" s="2" t="s">
        <v>94</v>
      </c>
      <c r="D1042" s="3">
        <v>45291</v>
      </c>
      <c r="E1042">
        <v>82.4891243725599</v>
      </c>
      <c r="F1042">
        <v>70.444407961204206</v>
      </c>
      <c r="G1042">
        <v>84.496075834166803</v>
      </c>
      <c r="H1042">
        <v>77.671037298570099</v>
      </c>
      <c r="I1042">
        <v>27722</v>
      </c>
      <c r="J1042">
        <v>83.3333333333333</v>
      </c>
      <c r="K1042">
        <v>12</v>
      </c>
      <c r="L1042" t="b">
        <v>1</v>
      </c>
      <c r="M1042">
        <v>38906</v>
      </c>
      <c r="N1042" s="2" t="s">
        <v>100</v>
      </c>
      <c r="O1042" t="b">
        <v>1</v>
      </c>
      <c r="P1042" s="2" t="s">
        <v>100</v>
      </c>
      <c r="Q1042">
        <v>71.154811864450707</v>
      </c>
      <c r="R1042" t="b">
        <v>0</v>
      </c>
      <c r="S1042">
        <v>77.380952380952294</v>
      </c>
      <c r="T1042">
        <v>0</v>
      </c>
      <c r="U1042">
        <v>79</v>
      </c>
      <c r="V1042" t="b">
        <v>1</v>
      </c>
      <c r="W1042" t="b">
        <v>1</v>
      </c>
      <c r="X1042">
        <v>51.650165016501603</v>
      </c>
    </row>
    <row r="1043" spans="3:24" x14ac:dyDescent="0.35">
      <c r="C1043" s="2" t="s">
        <v>94</v>
      </c>
      <c r="D1043" s="3">
        <v>44926</v>
      </c>
      <c r="E1043">
        <v>84.163148102469506</v>
      </c>
      <c r="F1043">
        <v>67.815511458039396</v>
      </c>
      <c r="G1043">
        <v>89.410754504504396</v>
      </c>
      <c r="H1043">
        <v>78.633293562549497</v>
      </c>
      <c r="I1043">
        <v>30062</v>
      </c>
      <c r="J1043">
        <v>84.615384615384599</v>
      </c>
      <c r="K1043">
        <v>12</v>
      </c>
      <c r="L1043" t="b">
        <v>1</v>
      </c>
      <c r="M1043">
        <v>36613</v>
      </c>
      <c r="N1043" s="2" t="s">
        <v>100</v>
      </c>
      <c r="O1043" t="b">
        <v>1</v>
      </c>
      <c r="P1043" s="2" t="s">
        <v>100</v>
      </c>
      <c r="Q1043">
        <v>73.521960578472303</v>
      </c>
      <c r="R1043" t="b">
        <v>0</v>
      </c>
      <c r="S1043">
        <v>77.721088435374099</v>
      </c>
      <c r="T1043">
        <v>0</v>
      </c>
      <c r="U1043">
        <v>78</v>
      </c>
      <c r="V1043" t="b">
        <v>1</v>
      </c>
      <c r="W1043" t="b">
        <v>1</v>
      </c>
      <c r="X1043">
        <v>52.741935483870897</v>
      </c>
    </row>
    <row r="1044" spans="3:24" x14ac:dyDescent="0.35">
      <c r="C1044" s="2" t="s">
        <v>94</v>
      </c>
      <c r="D1044" s="3">
        <v>44561</v>
      </c>
      <c r="E1044">
        <v>63.258045311618602</v>
      </c>
      <c r="F1044">
        <v>67.650775592755096</v>
      </c>
      <c r="G1044">
        <v>90.692204080548393</v>
      </c>
      <c r="H1044">
        <v>76.281649617054299</v>
      </c>
      <c r="I1044">
        <v>30957</v>
      </c>
      <c r="J1044">
        <v>75</v>
      </c>
      <c r="K1044">
        <v>10</v>
      </c>
      <c r="L1044" t="b">
        <v>1</v>
      </c>
      <c r="M1044">
        <v>37920</v>
      </c>
      <c r="N1044" s="2" t="s">
        <v>100</v>
      </c>
      <c r="O1044" t="b">
        <v>1</v>
      </c>
      <c r="P1044" s="2" t="s">
        <v>100</v>
      </c>
      <c r="Q1044">
        <v>75.621147307915805</v>
      </c>
      <c r="R1044" s="2" t="s">
        <v>100</v>
      </c>
      <c r="S1044">
        <v>79.259259259259196</v>
      </c>
      <c r="T1044" s="2" t="s">
        <v>100</v>
      </c>
      <c r="U1044">
        <v>76</v>
      </c>
      <c r="V1044" t="b">
        <v>1</v>
      </c>
      <c r="W1044" t="b">
        <v>1</v>
      </c>
      <c r="X1044">
        <v>54.266211604095503</v>
      </c>
    </row>
    <row r="1045" spans="3:24" x14ac:dyDescent="0.35">
      <c r="C1045" s="2" t="s">
        <v>94</v>
      </c>
      <c r="D1045" s="3">
        <v>44196</v>
      </c>
      <c r="E1045">
        <v>62.085652110337897</v>
      </c>
      <c r="F1045">
        <v>68.722765268573895</v>
      </c>
      <c r="G1045">
        <v>91.133903133903104</v>
      </c>
      <c r="H1045">
        <v>76.802271993607505</v>
      </c>
      <c r="I1045">
        <v>35482</v>
      </c>
      <c r="J1045">
        <v>66.6666666666666</v>
      </c>
      <c r="K1045">
        <v>11</v>
      </c>
      <c r="L1045" t="b">
        <v>0</v>
      </c>
      <c r="M1045">
        <v>31033</v>
      </c>
      <c r="N1045" s="2" t="s">
        <v>100</v>
      </c>
      <c r="O1045" t="b">
        <v>1</v>
      </c>
      <c r="P1045" s="2" t="s">
        <v>100</v>
      </c>
      <c r="Q1045">
        <v>78.200069035947806</v>
      </c>
      <c r="R1045" s="2" t="s">
        <v>100</v>
      </c>
      <c r="S1045">
        <v>79.872881355932194</v>
      </c>
      <c r="T1045" s="2" t="s">
        <v>100</v>
      </c>
      <c r="U1045">
        <v>77</v>
      </c>
      <c r="V1045" t="b">
        <v>1</v>
      </c>
      <c r="W1045" t="b">
        <v>1</v>
      </c>
      <c r="X1045">
        <v>54.1015625</v>
      </c>
    </row>
    <row r="1046" spans="3:24" x14ac:dyDescent="0.35">
      <c r="C1046" s="2" t="s">
        <v>94</v>
      </c>
      <c r="D1046" s="3">
        <v>43830</v>
      </c>
      <c r="E1046">
        <v>74.831494325346696</v>
      </c>
      <c r="F1046">
        <v>68.908305556825198</v>
      </c>
      <c r="G1046">
        <v>90.325596166060393</v>
      </c>
      <c r="H1046">
        <v>75.312946301774602</v>
      </c>
      <c r="I1046">
        <v>38942</v>
      </c>
      <c r="J1046">
        <v>58.3333333333333</v>
      </c>
      <c r="K1046">
        <v>11</v>
      </c>
      <c r="L1046" t="b">
        <v>0</v>
      </c>
      <c r="M1046">
        <v>31033</v>
      </c>
      <c r="N1046" s="2" t="s">
        <v>100</v>
      </c>
      <c r="O1046" t="b">
        <v>1</v>
      </c>
      <c r="P1046" s="2" t="s">
        <v>100</v>
      </c>
      <c r="Q1046">
        <v>80.269779293880703</v>
      </c>
      <c r="R1046" s="2" t="s">
        <v>100</v>
      </c>
      <c r="S1046">
        <v>81.623931623931597</v>
      </c>
      <c r="T1046" s="2" t="s">
        <v>100</v>
      </c>
      <c r="U1046">
        <v>74</v>
      </c>
      <c r="V1046" t="b">
        <v>1</v>
      </c>
      <c r="W1046" t="b">
        <v>1</v>
      </c>
      <c r="X1046">
        <v>52.459016393442603</v>
      </c>
    </row>
    <row r="1047" spans="3:24" x14ac:dyDescent="0.35">
      <c r="C1047" s="2" t="s">
        <v>94</v>
      </c>
      <c r="D1047" s="3">
        <v>43465</v>
      </c>
      <c r="E1047">
        <v>66.706721858757305</v>
      </c>
      <c r="F1047">
        <v>68.471104146231596</v>
      </c>
      <c r="G1047">
        <v>71.656591185946695</v>
      </c>
      <c r="H1047">
        <v>66.447907827659094</v>
      </c>
      <c r="I1047">
        <v>41428.65</v>
      </c>
      <c r="J1047">
        <v>66.6666666666666</v>
      </c>
      <c r="K1047">
        <v>12</v>
      </c>
      <c r="L1047" t="b">
        <v>0</v>
      </c>
      <c r="M1047">
        <v>14891</v>
      </c>
      <c r="N1047" s="2" t="s">
        <v>100</v>
      </c>
      <c r="O1047" t="b">
        <v>1</v>
      </c>
      <c r="P1047" s="2" t="s">
        <v>100</v>
      </c>
      <c r="Q1047">
        <v>82.220517481419506</v>
      </c>
      <c r="R1047" s="2" t="s">
        <v>100</v>
      </c>
      <c r="S1047">
        <v>36.842105263157798</v>
      </c>
      <c r="T1047">
        <v>0</v>
      </c>
      <c r="U1047">
        <v>72</v>
      </c>
      <c r="V1047" t="b">
        <v>1</v>
      </c>
      <c r="W1047" t="b">
        <v>1</v>
      </c>
      <c r="X1047">
        <v>53.196347031963398</v>
      </c>
    </row>
    <row r="1048" spans="3:24" x14ac:dyDescent="0.35">
      <c r="C1048" s="2" t="s">
        <v>94</v>
      </c>
      <c r="D1048" s="3">
        <v>43100</v>
      </c>
      <c r="E1048">
        <v>83.360436262911804</v>
      </c>
      <c r="F1048">
        <v>61.742877277760897</v>
      </c>
      <c r="G1048">
        <v>78.438528006650102</v>
      </c>
      <c r="H1048">
        <v>69.033257553496696</v>
      </c>
      <c r="I1048">
        <v>41228.35</v>
      </c>
      <c r="J1048">
        <v>53.846153846153797</v>
      </c>
      <c r="K1048">
        <v>10</v>
      </c>
      <c r="L1048" t="b">
        <v>0</v>
      </c>
      <c r="M1048">
        <v>1439</v>
      </c>
      <c r="N1048" s="2" t="s">
        <v>100</v>
      </c>
      <c r="O1048" t="b">
        <v>1</v>
      </c>
      <c r="P1048" s="2" t="s">
        <v>100</v>
      </c>
      <c r="Q1048">
        <v>85.960763534790999</v>
      </c>
      <c r="R1048" s="2" t="s">
        <v>100</v>
      </c>
      <c r="S1048">
        <v>37.121212121212103</v>
      </c>
      <c r="T1048">
        <v>0</v>
      </c>
      <c r="U1048">
        <v>77</v>
      </c>
      <c r="V1048" t="b">
        <v>1</v>
      </c>
      <c r="W1048" t="b">
        <v>1</v>
      </c>
      <c r="X1048">
        <v>54.883720930232499</v>
      </c>
    </row>
    <row r="1049" spans="3:24" x14ac:dyDescent="0.35">
      <c r="C1049" s="2" t="s">
        <v>94</v>
      </c>
      <c r="D1049" s="3">
        <v>42735</v>
      </c>
      <c r="E1049">
        <v>91.098520782825602</v>
      </c>
      <c r="F1049">
        <v>73.450840789123603</v>
      </c>
      <c r="G1049">
        <v>77.403405641110496</v>
      </c>
      <c r="H1049">
        <v>76.090229629427597</v>
      </c>
      <c r="I1049">
        <v>46017.919999999998</v>
      </c>
      <c r="J1049">
        <v>71.428571428571402</v>
      </c>
      <c r="K1049">
        <v>10</v>
      </c>
      <c r="L1049" t="b">
        <v>1</v>
      </c>
      <c r="M1049">
        <v>1061.4000000000001</v>
      </c>
      <c r="N1049" s="2" t="s">
        <v>100</v>
      </c>
      <c r="O1049" t="b">
        <v>1</v>
      </c>
      <c r="P1049" s="2" t="s">
        <v>100</v>
      </c>
      <c r="Q1049">
        <v>86.761782529177495</v>
      </c>
      <c r="R1049" s="2" t="s">
        <v>100</v>
      </c>
      <c r="S1049">
        <v>48.571428571428498</v>
      </c>
      <c r="T1049">
        <v>0</v>
      </c>
      <c r="U1049">
        <v>76</v>
      </c>
      <c r="V1049" t="b">
        <v>1</v>
      </c>
      <c r="W1049" t="b">
        <v>1</v>
      </c>
      <c r="X1049">
        <v>55.097087378640701</v>
      </c>
    </row>
    <row r="1050" spans="3:24" x14ac:dyDescent="0.35">
      <c r="C1050" s="2" t="s">
        <v>94</v>
      </c>
      <c r="D1050" s="3">
        <v>42369</v>
      </c>
      <c r="E1050">
        <v>80.767869780608606</v>
      </c>
      <c r="F1050">
        <v>74.469578502593095</v>
      </c>
      <c r="G1050">
        <v>77.425031377873495</v>
      </c>
      <c r="H1050">
        <v>72.577228372642395</v>
      </c>
      <c r="I1050">
        <v>50415</v>
      </c>
      <c r="J1050">
        <v>61.538461538461497</v>
      </c>
      <c r="K1050">
        <v>11</v>
      </c>
      <c r="L1050" t="b">
        <v>1</v>
      </c>
      <c r="M1050">
        <v>1012.92</v>
      </c>
      <c r="N1050" s="2" t="s">
        <v>100</v>
      </c>
      <c r="O1050" t="b">
        <v>1</v>
      </c>
      <c r="P1050" s="2" t="s">
        <v>100</v>
      </c>
      <c r="Q1050">
        <v>87.208323109393802</v>
      </c>
      <c r="R1050" s="2" t="s">
        <v>100</v>
      </c>
      <c r="S1050">
        <v>48.165137614678898</v>
      </c>
      <c r="T1050">
        <v>0</v>
      </c>
      <c r="U1050">
        <v>64</v>
      </c>
      <c r="V1050" t="b">
        <v>1</v>
      </c>
      <c r="W1050" t="b">
        <v>1</v>
      </c>
      <c r="X1050">
        <v>58.045977011494202</v>
      </c>
    </row>
    <row r="1051" spans="3:24" x14ac:dyDescent="0.35">
      <c r="C1051" s="2" t="s">
        <v>95</v>
      </c>
      <c r="D1051" s="3">
        <v>45657</v>
      </c>
      <c r="E1051">
        <v>64.726080257790102</v>
      </c>
      <c r="F1051">
        <v>82.180733793238701</v>
      </c>
      <c r="G1051">
        <v>74.123265422285002</v>
      </c>
      <c r="H1051">
        <v>74.058435131687105</v>
      </c>
      <c r="I1051">
        <v>7300000</v>
      </c>
      <c r="J1051">
        <v>70</v>
      </c>
      <c r="K1051">
        <v>10</v>
      </c>
      <c r="L1051" t="b">
        <v>1</v>
      </c>
      <c r="M1051">
        <v>644346</v>
      </c>
      <c r="N1051" s="2" t="s">
        <v>100</v>
      </c>
      <c r="O1051" t="b">
        <v>1</v>
      </c>
      <c r="P1051" s="2" t="s">
        <v>100</v>
      </c>
      <c r="Q1051">
        <v>70.2374273937494</v>
      </c>
      <c r="R1051" t="b">
        <v>1</v>
      </c>
      <c r="S1051">
        <v>20.855148342059302</v>
      </c>
      <c r="T1051">
        <v>1.06</v>
      </c>
      <c r="U1051" s="2" t="s">
        <v>100</v>
      </c>
      <c r="V1051" t="b">
        <v>1</v>
      </c>
      <c r="W1051" t="b">
        <v>1</v>
      </c>
      <c r="X1051">
        <v>56.574675324675297</v>
      </c>
    </row>
    <row r="1052" spans="3:24" x14ac:dyDescent="0.35">
      <c r="C1052" s="2" t="s">
        <v>95</v>
      </c>
      <c r="D1052" s="3">
        <v>45291</v>
      </c>
      <c r="E1052">
        <v>77.068636782501102</v>
      </c>
      <c r="F1052">
        <v>83.145133752746105</v>
      </c>
      <c r="G1052">
        <v>77.724524459582398</v>
      </c>
      <c r="H1052">
        <v>79.675221213738297</v>
      </c>
      <c r="I1052">
        <v>12500000</v>
      </c>
      <c r="J1052">
        <v>63.636363636363598</v>
      </c>
      <c r="K1052">
        <v>10</v>
      </c>
      <c r="L1052" t="b">
        <v>1</v>
      </c>
      <c r="M1052">
        <v>251556</v>
      </c>
      <c r="N1052" s="2" t="s">
        <v>100</v>
      </c>
      <c r="O1052" t="b">
        <v>1</v>
      </c>
      <c r="P1052" s="2" t="s">
        <v>100</v>
      </c>
      <c r="Q1052">
        <v>71.154811864450707</v>
      </c>
      <c r="R1052" t="b">
        <v>0</v>
      </c>
      <c r="S1052">
        <v>20.2752293577981</v>
      </c>
      <c r="T1052">
        <v>1.23</v>
      </c>
      <c r="U1052">
        <v>90</v>
      </c>
      <c r="V1052" t="b">
        <v>1</v>
      </c>
      <c r="W1052" t="b">
        <v>1</v>
      </c>
      <c r="X1052">
        <v>59.380234505862603</v>
      </c>
    </row>
    <row r="1053" spans="3:24" x14ac:dyDescent="0.35">
      <c r="C1053" s="2" t="s">
        <v>95</v>
      </c>
      <c r="D1053" s="3">
        <v>44926</v>
      </c>
      <c r="E1053">
        <v>76.919571231177898</v>
      </c>
      <c r="F1053">
        <v>83.253874370688706</v>
      </c>
      <c r="G1053">
        <v>81.247403653653606</v>
      </c>
      <c r="H1053">
        <v>80.531616609351602</v>
      </c>
      <c r="I1053">
        <v>13300000</v>
      </c>
      <c r="J1053">
        <v>64.285714285714207</v>
      </c>
      <c r="K1053">
        <v>10</v>
      </c>
      <c r="L1053" t="b">
        <v>1</v>
      </c>
      <c r="M1053">
        <v>193194</v>
      </c>
      <c r="N1053" s="2" t="s">
        <v>100</v>
      </c>
      <c r="O1053" t="b">
        <v>1</v>
      </c>
      <c r="P1053" s="2" t="s">
        <v>100</v>
      </c>
      <c r="Q1053">
        <v>73.521960578472303</v>
      </c>
      <c r="R1053" t="b">
        <v>0</v>
      </c>
      <c r="S1053">
        <v>21.176470588235201</v>
      </c>
      <c r="T1053">
        <v>1.4</v>
      </c>
      <c r="U1053">
        <v>90</v>
      </c>
      <c r="V1053" t="b">
        <v>1</v>
      </c>
      <c r="W1053" t="b">
        <v>1</v>
      </c>
      <c r="X1053">
        <v>62.155172413793103</v>
      </c>
    </row>
    <row r="1054" spans="3:24" x14ac:dyDescent="0.35">
      <c r="C1054" s="2" t="s">
        <v>95</v>
      </c>
      <c r="D1054" s="3">
        <v>44561</v>
      </c>
      <c r="E1054">
        <v>83.238830239520794</v>
      </c>
      <c r="F1054">
        <v>81.496106389905904</v>
      </c>
      <c r="G1054">
        <v>84.526347616971606</v>
      </c>
      <c r="H1054">
        <v>82.8536318661303</v>
      </c>
      <c r="I1054">
        <v>14760000</v>
      </c>
      <c r="J1054">
        <v>66.6666666666666</v>
      </c>
      <c r="K1054">
        <v>12</v>
      </c>
      <c r="L1054" t="b">
        <v>1</v>
      </c>
      <c r="M1054">
        <v>132520</v>
      </c>
      <c r="N1054" s="2" t="s">
        <v>100</v>
      </c>
      <c r="O1054" t="b">
        <v>1</v>
      </c>
      <c r="P1054" s="2" t="s">
        <v>100</v>
      </c>
      <c r="Q1054">
        <v>75.621147307915805</v>
      </c>
      <c r="R1054" t="b">
        <v>0</v>
      </c>
      <c r="S1054">
        <v>23.5507246376811</v>
      </c>
      <c r="T1054">
        <v>1.52</v>
      </c>
      <c r="U1054" s="2" t="s">
        <v>100</v>
      </c>
      <c r="V1054" t="b">
        <v>1</v>
      </c>
      <c r="W1054" t="b">
        <v>1</v>
      </c>
      <c r="X1054">
        <v>63.253012048192701</v>
      </c>
    </row>
    <row r="1055" spans="3:24" x14ac:dyDescent="0.35">
      <c r="C1055" s="2" t="s">
        <v>95</v>
      </c>
      <c r="D1055" s="3">
        <v>44196</v>
      </c>
      <c r="E1055">
        <v>81.817192326524406</v>
      </c>
      <c r="F1055">
        <v>83.140227507212998</v>
      </c>
      <c r="G1055">
        <v>90.816442816442802</v>
      </c>
      <c r="H1055">
        <v>84.559566769209894</v>
      </c>
      <c r="I1055">
        <v>16080000</v>
      </c>
      <c r="J1055">
        <v>66.6666666666666</v>
      </c>
      <c r="K1055">
        <v>11</v>
      </c>
      <c r="L1055" t="b">
        <v>1</v>
      </c>
      <c r="M1055">
        <v>57275</v>
      </c>
      <c r="N1055" s="2" t="s">
        <v>100</v>
      </c>
      <c r="O1055" t="b">
        <v>1</v>
      </c>
      <c r="P1055" s="2" t="s">
        <v>100</v>
      </c>
      <c r="Q1055">
        <v>78.200069035947806</v>
      </c>
      <c r="R1055" t="b">
        <v>0</v>
      </c>
      <c r="S1055">
        <v>24.175824175824101</v>
      </c>
      <c r="T1055">
        <v>1.34</v>
      </c>
      <c r="U1055" s="2" t="s">
        <v>100</v>
      </c>
      <c r="V1055" t="b">
        <v>1</v>
      </c>
      <c r="W1055" t="b">
        <v>1</v>
      </c>
      <c r="X1055">
        <v>64.013452914798194</v>
      </c>
    </row>
    <row r="1056" spans="3:24" x14ac:dyDescent="0.35">
      <c r="C1056" s="2" t="s">
        <v>95</v>
      </c>
      <c r="D1056" s="3">
        <v>43830</v>
      </c>
      <c r="E1056">
        <v>82.591412462135395</v>
      </c>
      <c r="F1056">
        <v>84.059542716976097</v>
      </c>
      <c r="G1056">
        <v>76.139442231075705</v>
      </c>
      <c r="H1056">
        <v>81.597884199635104</v>
      </c>
      <c r="I1056">
        <v>17800000</v>
      </c>
      <c r="J1056">
        <v>69.230769230769198</v>
      </c>
      <c r="K1056">
        <v>11</v>
      </c>
      <c r="L1056" t="b">
        <v>1</v>
      </c>
      <c r="M1056">
        <v>55503</v>
      </c>
      <c r="N1056" s="2" t="s">
        <v>100</v>
      </c>
      <c r="O1056" t="b">
        <v>1</v>
      </c>
      <c r="P1056" s="2" t="s">
        <v>100</v>
      </c>
      <c r="Q1056">
        <v>80.269779293880703</v>
      </c>
      <c r="R1056" t="b">
        <v>0</v>
      </c>
      <c r="S1056">
        <v>22.1698113207547</v>
      </c>
      <c r="T1056">
        <v>1.36</v>
      </c>
      <c r="U1056" s="2" t="s">
        <v>100</v>
      </c>
      <c r="V1056" t="b">
        <v>1</v>
      </c>
      <c r="W1056" t="b">
        <v>1</v>
      </c>
      <c r="X1056">
        <v>66.460396039603907</v>
      </c>
    </row>
    <row r="1057" spans="3:24" x14ac:dyDescent="0.35">
      <c r="C1057" s="2" t="s">
        <v>95</v>
      </c>
      <c r="D1057" s="3">
        <v>43465</v>
      </c>
      <c r="E1057">
        <v>83.295557310113495</v>
      </c>
      <c r="F1057">
        <v>81.316733602894899</v>
      </c>
      <c r="G1057">
        <v>80.491099043303706</v>
      </c>
      <c r="H1057">
        <v>81.810488440188195</v>
      </c>
      <c r="I1057">
        <v>16200000</v>
      </c>
      <c r="J1057">
        <v>66.6666666666666</v>
      </c>
      <c r="K1057">
        <v>12</v>
      </c>
      <c r="L1057" t="b">
        <v>1</v>
      </c>
      <c r="M1057">
        <v>42839</v>
      </c>
      <c r="N1057" s="2" t="s">
        <v>100</v>
      </c>
      <c r="O1057" t="b">
        <v>1</v>
      </c>
      <c r="P1057" s="2" t="s">
        <v>100</v>
      </c>
      <c r="Q1057">
        <v>82.220517481419506</v>
      </c>
      <c r="R1057" t="b">
        <v>0</v>
      </c>
      <c r="S1057">
        <v>22.328244274809101</v>
      </c>
      <c r="T1057">
        <v>1.631</v>
      </c>
      <c r="U1057" s="2" t="s">
        <v>100</v>
      </c>
      <c r="V1057" t="b">
        <v>1</v>
      </c>
      <c r="W1057" t="b">
        <v>1</v>
      </c>
      <c r="X1057">
        <v>68.534482758620598</v>
      </c>
    </row>
    <row r="1058" spans="3:24" x14ac:dyDescent="0.35">
      <c r="C1058" s="2" t="s">
        <v>95</v>
      </c>
      <c r="D1058" s="3">
        <v>43100</v>
      </c>
      <c r="E1058">
        <v>85.477006043963797</v>
      </c>
      <c r="F1058">
        <v>77.769001153913806</v>
      </c>
      <c r="G1058">
        <v>56.202199535721697</v>
      </c>
      <c r="H1058">
        <v>75.185973828345396</v>
      </c>
      <c r="I1058">
        <v>17900000</v>
      </c>
      <c r="J1058">
        <v>57.142857142857103</v>
      </c>
      <c r="K1058">
        <v>12</v>
      </c>
      <c r="L1058" t="b">
        <v>1</v>
      </c>
      <c r="M1058">
        <v>67894</v>
      </c>
      <c r="N1058" s="2" t="s">
        <v>100</v>
      </c>
      <c r="O1058" t="b">
        <v>1</v>
      </c>
      <c r="P1058" s="2" t="s">
        <v>100</v>
      </c>
      <c r="Q1058">
        <v>85.960763534790999</v>
      </c>
      <c r="R1058" s="2" t="s">
        <v>100</v>
      </c>
      <c r="S1058">
        <v>20.8860759493671</v>
      </c>
      <c r="T1058">
        <v>1.68</v>
      </c>
      <c r="U1058" s="2" t="s">
        <v>100</v>
      </c>
      <c r="V1058" t="b">
        <v>1</v>
      </c>
      <c r="W1058" t="b">
        <v>1</v>
      </c>
      <c r="X1058">
        <v>73.192771084337295</v>
      </c>
    </row>
    <row r="1059" spans="3:24" x14ac:dyDescent="0.35">
      <c r="C1059" s="2" t="s">
        <v>95</v>
      </c>
      <c r="D1059" s="3">
        <v>42735</v>
      </c>
      <c r="E1059">
        <v>86.452429001170501</v>
      </c>
      <c r="F1059">
        <v>76.178943038029402</v>
      </c>
      <c r="G1059">
        <v>76.240961527846693</v>
      </c>
      <c r="H1059">
        <v>79.810215489131096</v>
      </c>
      <c r="I1059">
        <v>17900000</v>
      </c>
      <c r="J1059">
        <v>66.6666666666666</v>
      </c>
      <c r="K1059">
        <v>10</v>
      </c>
      <c r="L1059" t="b">
        <v>1</v>
      </c>
      <c r="M1059">
        <v>61583</v>
      </c>
      <c r="N1059" s="2" t="s">
        <v>100</v>
      </c>
      <c r="O1059" t="b">
        <v>1</v>
      </c>
      <c r="P1059" s="2" t="s">
        <v>100</v>
      </c>
      <c r="Q1059">
        <v>86.761782529177495</v>
      </c>
      <c r="R1059" s="2" t="s">
        <v>100</v>
      </c>
      <c r="S1059">
        <v>20.145631067961101</v>
      </c>
      <c r="T1059">
        <v>1.87</v>
      </c>
      <c r="U1059" s="2" t="s">
        <v>100</v>
      </c>
      <c r="V1059" t="b">
        <v>1</v>
      </c>
      <c r="W1059" t="b">
        <v>1</v>
      </c>
      <c r="X1059">
        <v>75.081433224755699</v>
      </c>
    </row>
    <row r="1060" spans="3:24" x14ac:dyDescent="0.35">
      <c r="C1060" s="2" t="s">
        <v>95</v>
      </c>
      <c r="D1060" s="3">
        <v>42369</v>
      </c>
      <c r="E1060">
        <v>85.520156197494799</v>
      </c>
      <c r="F1060">
        <v>86.966211430082396</v>
      </c>
      <c r="G1060">
        <v>66.512296860346297</v>
      </c>
      <c r="H1060">
        <v>81.434442163288296</v>
      </c>
      <c r="I1060">
        <v>18300000</v>
      </c>
      <c r="J1060">
        <v>69.230769230769198</v>
      </c>
      <c r="K1060">
        <v>12</v>
      </c>
      <c r="L1060" t="b">
        <v>1</v>
      </c>
      <c r="M1060">
        <v>280529</v>
      </c>
      <c r="N1060" s="2" t="s">
        <v>100</v>
      </c>
      <c r="O1060" t="b">
        <v>1</v>
      </c>
      <c r="P1060" s="2" t="s">
        <v>100</v>
      </c>
      <c r="Q1060">
        <v>87.208323109393802</v>
      </c>
      <c r="R1060" s="2" t="s">
        <v>100</v>
      </c>
      <c r="S1060">
        <v>17.567567567567501</v>
      </c>
      <c r="T1060">
        <v>2.35</v>
      </c>
      <c r="U1060" s="2" t="s">
        <v>100</v>
      </c>
      <c r="V1060" t="b">
        <v>1</v>
      </c>
      <c r="W1060" t="b">
        <v>1</v>
      </c>
      <c r="X1060">
        <v>77.112676056338003</v>
      </c>
    </row>
    <row r="1061" spans="3:24" x14ac:dyDescent="0.35">
      <c r="C1061" s="2" t="s">
        <v>96</v>
      </c>
      <c r="D1061" s="3">
        <v>45838</v>
      </c>
      <c r="E1061">
        <v>65.141061857163507</v>
      </c>
      <c r="F1061">
        <v>75.938113778881402</v>
      </c>
      <c r="G1061">
        <v>65.912905092592496</v>
      </c>
      <c r="H1061">
        <v>70.248016421765698</v>
      </c>
      <c r="I1061">
        <v>521000</v>
      </c>
      <c r="J1061">
        <v>75</v>
      </c>
      <c r="K1061">
        <v>9</v>
      </c>
      <c r="L1061" t="b">
        <v>1</v>
      </c>
      <c r="M1061" s="2" t="s">
        <v>100</v>
      </c>
      <c r="N1061">
        <v>28607</v>
      </c>
      <c r="O1061" t="b">
        <v>1</v>
      </c>
      <c r="P1061" s="2" t="s">
        <v>100</v>
      </c>
      <c r="Q1061">
        <v>69.909916611739803</v>
      </c>
      <c r="R1061" t="b">
        <v>1</v>
      </c>
      <c r="S1061">
        <v>93.697478991596597</v>
      </c>
      <c r="T1061">
        <v>0.41</v>
      </c>
      <c r="U1061">
        <v>83</v>
      </c>
      <c r="V1061" t="b">
        <v>1</v>
      </c>
      <c r="W1061" t="b">
        <v>1</v>
      </c>
      <c r="X1061">
        <v>52.941176470588204</v>
      </c>
    </row>
    <row r="1062" spans="3:24" x14ac:dyDescent="0.35">
      <c r="C1062" s="2" t="s">
        <v>96</v>
      </c>
      <c r="D1062" s="3">
        <v>45473</v>
      </c>
      <c r="E1062">
        <v>70.658954710678799</v>
      </c>
      <c r="F1062">
        <v>80.678687639361499</v>
      </c>
      <c r="G1062">
        <v>62.127380648622399</v>
      </c>
      <c r="H1062">
        <v>73.108539673847602</v>
      </c>
      <c r="I1062">
        <v>542000</v>
      </c>
      <c r="J1062">
        <v>81.818181818181799</v>
      </c>
      <c r="K1062">
        <v>10</v>
      </c>
      <c r="L1062" t="b">
        <v>1</v>
      </c>
      <c r="M1062">
        <v>1411938</v>
      </c>
      <c r="N1062">
        <v>31363</v>
      </c>
      <c r="O1062" t="b">
        <v>1</v>
      </c>
      <c r="P1062">
        <v>728808</v>
      </c>
      <c r="Q1062">
        <v>70.2374273937494</v>
      </c>
      <c r="R1062" t="b">
        <v>1</v>
      </c>
      <c r="S1062">
        <v>92.796610169491501</v>
      </c>
      <c r="T1062">
        <v>0.53</v>
      </c>
      <c r="U1062">
        <v>81</v>
      </c>
      <c r="V1062" t="b">
        <v>1</v>
      </c>
      <c r="W1062" t="b">
        <v>1</v>
      </c>
      <c r="X1062">
        <v>53.389830508474503</v>
      </c>
    </row>
    <row r="1063" spans="3:24" x14ac:dyDescent="0.35">
      <c r="C1063" s="2" t="s">
        <v>96</v>
      </c>
      <c r="D1063" s="3">
        <v>45107</v>
      </c>
      <c r="E1063">
        <v>73.921268532400404</v>
      </c>
      <c r="F1063">
        <v>83.264323661116194</v>
      </c>
      <c r="G1063">
        <v>50.1384946701628</v>
      </c>
      <c r="H1063">
        <v>72.286676995126797</v>
      </c>
      <c r="I1063">
        <v>639000</v>
      </c>
      <c r="J1063">
        <v>75</v>
      </c>
      <c r="K1063">
        <v>11</v>
      </c>
      <c r="L1063" t="b">
        <v>1</v>
      </c>
      <c r="M1063">
        <v>1143662</v>
      </c>
      <c r="N1063">
        <v>35724</v>
      </c>
      <c r="O1063" t="b">
        <v>1</v>
      </c>
      <c r="P1063">
        <v>665214</v>
      </c>
      <c r="Q1063">
        <v>71.154811864450707</v>
      </c>
      <c r="R1063" t="b">
        <v>1</v>
      </c>
      <c r="S1063">
        <v>96.153846153846104</v>
      </c>
      <c r="T1063">
        <v>0.45</v>
      </c>
      <c r="U1063">
        <v>84</v>
      </c>
      <c r="V1063" t="b">
        <v>1</v>
      </c>
      <c r="W1063" t="b">
        <v>1</v>
      </c>
      <c r="X1063">
        <v>55.932203389830498</v>
      </c>
    </row>
    <row r="1064" spans="3:24" x14ac:dyDescent="0.35">
      <c r="C1064" s="2" t="s">
        <v>96</v>
      </c>
      <c r="D1064" s="3">
        <v>44742</v>
      </c>
      <c r="E1064">
        <v>64.412136536030303</v>
      </c>
      <c r="F1064">
        <v>93.770903960269194</v>
      </c>
      <c r="G1064">
        <v>44.2153716216216</v>
      </c>
      <c r="H1064">
        <v>72.778483623828706</v>
      </c>
      <c r="I1064">
        <v>674000</v>
      </c>
      <c r="J1064">
        <v>69.230769230769198</v>
      </c>
      <c r="K1064">
        <v>12</v>
      </c>
      <c r="L1064" t="b">
        <v>1</v>
      </c>
      <c r="M1064">
        <v>984057</v>
      </c>
      <c r="N1064">
        <v>28642</v>
      </c>
      <c r="O1064" t="b">
        <v>1</v>
      </c>
      <c r="P1064">
        <v>607317.9</v>
      </c>
      <c r="Q1064">
        <v>73.521960578472303</v>
      </c>
      <c r="R1064" t="b">
        <v>0</v>
      </c>
      <c r="S1064">
        <v>96.956521739130395</v>
      </c>
      <c r="T1064" s="2" t="s">
        <v>100</v>
      </c>
      <c r="U1064">
        <v>82</v>
      </c>
      <c r="V1064" t="b">
        <v>1</v>
      </c>
      <c r="W1064" t="b">
        <v>1</v>
      </c>
      <c r="X1064">
        <v>56.8965517241379</v>
      </c>
    </row>
    <row r="1065" spans="3:24" x14ac:dyDescent="0.35">
      <c r="C1065" s="2" t="s">
        <v>96</v>
      </c>
      <c r="D1065" s="3">
        <v>44377</v>
      </c>
      <c r="E1065">
        <v>86.505991285403098</v>
      </c>
      <c r="F1065">
        <v>93.966710895169399</v>
      </c>
      <c r="G1065">
        <v>53.754834263855798</v>
      </c>
      <c r="H1065">
        <v>81.793872890566902</v>
      </c>
      <c r="I1065">
        <v>691999</v>
      </c>
      <c r="J1065">
        <v>69.230769230769198</v>
      </c>
      <c r="K1065">
        <v>12</v>
      </c>
      <c r="L1065" t="b">
        <v>1</v>
      </c>
      <c r="M1065">
        <v>949798</v>
      </c>
      <c r="N1065">
        <v>29784</v>
      </c>
      <c r="O1065" t="b">
        <v>1</v>
      </c>
      <c r="P1065">
        <v>466388</v>
      </c>
      <c r="Q1065">
        <v>75.621147307915805</v>
      </c>
      <c r="R1065" t="b">
        <v>0</v>
      </c>
      <c r="S1065">
        <v>96.601941747572795</v>
      </c>
      <c r="T1065" s="2" t="s">
        <v>100</v>
      </c>
      <c r="U1065">
        <v>81</v>
      </c>
      <c r="V1065" t="b">
        <v>1</v>
      </c>
      <c r="W1065" t="b">
        <v>1</v>
      </c>
      <c r="X1065">
        <v>60.7476635514018</v>
      </c>
    </row>
    <row r="1066" spans="3:24" x14ac:dyDescent="0.35">
      <c r="C1066" s="2" t="s">
        <v>96</v>
      </c>
      <c r="D1066" s="3">
        <v>44012</v>
      </c>
      <c r="E1066">
        <v>88.741366983083793</v>
      </c>
      <c r="F1066">
        <v>93.838958018515399</v>
      </c>
      <c r="G1066">
        <v>82.006919006919006</v>
      </c>
      <c r="H1066">
        <v>89.394877295350796</v>
      </c>
      <c r="I1066">
        <v>710985</v>
      </c>
      <c r="J1066">
        <v>70</v>
      </c>
      <c r="K1066">
        <v>10</v>
      </c>
      <c r="L1066" t="b">
        <v>1</v>
      </c>
      <c r="M1066">
        <v>866645</v>
      </c>
      <c r="N1066">
        <v>19419</v>
      </c>
      <c r="O1066" t="b">
        <v>1</v>
      </c>
      <c r="P1066">
        <v>457428</v>
      </c>
      <c r="Q1066">
        <v>78.200069035947806</v>
      </c>
      <c r="R1066" t="b">
        <v>0</v>
      </c>
      <c r="S1066">
        <v>97.058823529411697</v>
      </c>
      <c r="T1066" s="2" t="s">
        <v>100</v>
      </c>
      <c r="U1066" s="2" t="s">
        <v>100</v>
      </c>
      <c r="V1066" t="b">
        <v>1</v>
      </c>
      <c r="W1066" t="b">
        <v>1</v>
      </c>
      <c r="X1066">
        <v>61.413043478260803</v>
      </c>
    </row>
    <row r="1067" spans="3:24" x14ac:dyDescent="0.35">
      <c r="C1067" s="2" t="s">
        <v>96</v>
      </c>
      <c r="D1067" s="3">
        <v>43646</v>
      </c>
      <c r="E1067">
        <v>89.000956433084994</v>
      </c>
      <c r="F1067">
        <v>91.560809386636606</v>
      </c>
      <c r="G1067">
        <v>69.764940239043796</v>
      </c>
      <c r="H1067">
        <v>85.403746546837496</v>
      </c>
      <c r="I1067">
        <v>785668</v>
      </c>
      <c r="J1067">
        <v>58.3333333333333</v>
      </c>
      <c r="K1067">
        <v>10</v>
      </c>
      <c r="L1067" t="b">
        <v>1</v>
      </c>
      <c r="M1067">
        <v>939689</v>
      </c>
      <c r="N1067">
        <v>20810</v>
      </c>
      <c r="O1067" t="b">
        <v>1</v>
      </c>
      <c r="P1067">
        <v>444039</v>
      </c>
      <c r="Q1067">
        <v>80.269779293880703</v>
      </c>
      <c r="R1067" t="b">
        <v>0</v>
      </c>
      <c r="S1067">
        <v>95.454545454545396</v>
      </c>
      <c r="T1067" s="2" t="s">
        <v>100</v>
      </c>
      <c r="U1067">
        <v>75</v>
      </c>
      <c r="V1067" t="b">
        <v>1</v>
      </c>
      <c r="W1067" t="b">
        <v>1</v>
      </c>
      <c r="X1067">
        <v>62.209302325581397</v>
      </c>
    </row>
    <row r="1068" spans="3:24" x14ac:dyDescent="0.35">
      <c r="C1068" s="2" t="s">
        <v>96</v>
      </c>
      <c r="D1068" s="3">
        <v>43281</v>
      </c>
      <c r="E1068">
        <v>91.157667424048398</v>
      </c>
      <c r="F1068">
        <v>90.618384454330595</v>
      </c>
      <c r="G1068">
        <v>89.934272193570607</v>
      </c>
      <c r="H1068">
        <v>90.609230278982807</v>
      </c>
      <c r="I1068">
        <v>627000</v>
      </c>
      <c r="J1068">
        <v>63.636363636363598</v>
      </c>
      <c r="K1068">
        <v>10</v>
      </c>
      <c r="L1068" t="b">
        <v>1</v>
      </c>
      <c r="M1068">
        <v>797750</v>
      </c>
      <c r="N1068">
        <v>23845</v>
      </c>
      <c r="O1068" t="b">
        <v>1</v>
      </c>
      <c r="P1068">
        <v>508245</v>
      </c>
      <c r="Q1068">
        <v>82.220517481419506</v>
      </c>
      <c r="R1068" s="2" t="s">
        <v>100</v>
      </c>
      <c r="S1068">
        <v>92.5</v>
      </c>
      <c r="T1068" s="2" t="s">
        <v>100</v>
      </c>
      <c r="U1068">
        <v>76</v>
      </c>
      <c r="V1068" t="b">
        <v>1</v>
      </c>
      <c r="W1068" t="b">
        <v>1</v>
      </c>
      <c r="X1068">
        <v>66.197183098591495</v>
      </c>
    </row>
    <row r="1069" spans="3:24" x14ac:dyDescent="0.35">
      <c r="C1069" s="2" t="s">
        <v>96</v>
      </c>
      <c r="D1069" s="3">
        <v>42916</v>
      </c>
      <c r="E1069">
        <v>72.790510232688504</v>
      </c>
      <c r="F1069">
        <v>92.150450454530997</v>
      </c>
      <c r="G1069">
        <v>77.463921615858197</v>
      </c>
      <c r="H1069">
        <v>82.762111694036903</v>
      </c>
      <c r="I1069">
        <v>633000</v>
      </c>
      <c r="J1069">
        <v>66.6666666666666</v>
      </c>
      <c r="K1069">
        <v>10</v>
      </c>
      <c r="L1069" t="b">
        <v>1</v>
      </c>
      <c r="M1069">
        <v>717492</v>
      </c>
      <c r="N1069">
        <v>18172</v>
      </c>
      <c r="O1069" t="b">
        <v>1</v>
      </c>
      <c r="P1069">
        <v>641484</v>
      </c>
      <c r="Q1069">
        <v>85.960763534790999</v>
      </c>
      <c r="R1069" s="2" t="s">
        <v>100</v>
      </c>
      <c r="S1069">
        <v>93.103448275862107</v>
      </c>
      <c r="T1069">
        <v>0.56999999999999995</v>
      </c>
      <c r="U1069">
        <v>75</v>
      </c>
      <c r="V1069" t="b">
        <v>1</v>
      </c>
      <c r="W1069" t="b">
        <v>1</v>
      </c>
      <c r="X1069">
        <v>69.565217391304301</v>
      </c>
    </row>
    <row r="1070" spans="3:24" x14ac:dyDescent="0.35">
      <c r="C1070" s="2" t="s">
        <v>96</v>
      </c>
      <c r="D1070" s="3">
        <v>42551</v>
      </c>
      <c r="E1070">
        <v>82.675107079868894</v>
      </c>
      <c r="F1070">
        <v>80.156145651136796</v>
      </c>
      <c r="G1070">
        <v>73.328503615388797</v>
      </c>
      <c r="H1070">
        <v>79.214082517947602</v>
      </c>
      <c r="I1070">
        <v>672000</v>
      </c>
      <c r="J1070">
        <v>61.538461538461497</v>
      </c>
      <c r="K1070">
        <v>11</v>
      </c>
      <c r="L1070" t="b">
        <v>1</v>
      </c>
      <c r="M1070">
        <v>888325</v>
      </c>
      <c r="N1070">
        <v>24401</v>
      </c>
      <c r="O1070" t="b">
        <v>1</v>
      </c>
      <c r="P1070">
        <v>480528</v>
      </c>
      <c r="Q1070">
        <v>86.761782529177495</v>
      </c>
      <c r="R1070" s="2" t="s">
        <v>100</v>
      </c>
      <c r="S1070">
        <v>91</v>
      </c>
      <c r="T1070">
        <v>0.72</v>
      </c>
      <c r="U1070">
        <v>77</v>
      </c>
      <c r="V1070" t="b">
        <v>1</v>
      </c>
      <c r="W1070" t="b">
        <v>1</v>
      </c>
      <c r="X1070">
        <v>71.818181818181799</v>
      </c>
    </row>
    <row r="1071" spans="3:24" x14ac:dyDescent="0.35">
      <c r="C1071" s="2" t="s">
        <v>97</v>
      </c>
      <c r="D1071" s="3">
        <v>45747</v>
      </c>
      <c r="E1071">
        <v>92.652422591203305</v>
      </c>
      <c r="F1071">
        <v>73.348012194581102</v>
      </c>
      <c r="G1071">
        <v>87.605613425925895</v>
      </c>
      <c r="H1071">
        <v>82.697251528932497</v>
      </c>
      <c r="I1071">
        <v>19824</v>
      </c>
      <c r="J1071">
        <v>75</v>
      </c>
      <c r="K1071">
        <v>10</v>
      </c>
      <c r="L1071" t="b">
        <v>1</v>
      </c>
      <c r="M1071" s="2" t="s">
        <v>100</v>
      </c>
      <c r="N1071" s="2" t="s">
        <v>100</v>
      </c>
      <c r="O1071" t="b">
        <v>1</v>
      </c>
      <c r="P1071" s="2" t="s">
        <v>100</v>
      </c>
      <c r="Q1071">
        <v>69.909916611739803</v>
      </c>
      <c r="R1071" t="b">
        <v>0</v>
      </c>
      <c r="S1071">
        <v>42.111959287531803</v>
      </c>
      <c r="T1071" s="2" t="s">
        <v>100</v>
      </c>
      <c r="U1071" s="2" t="s">
        <v>100</v>
      </c>
      <c r="V1071" t="b">
        <v>1</v>
      </c>
      <c r="W1071" t="b">
        <v>1</v>
      </c>
      <c r="X1071">
        <v>54.418604651162703</v>
      </c>
    </row>
    <row r="1072" spans="3:24" x14ac:dyDescent="0.35">
      <c r="C1072" s="2" t="s">
        <v>97</v>
      </c>
      <c r="D1072" s="3">
        <v>45382</v>
      </c>
      <c r="E1072">
        <v>92.660797851982196</v>
      </c>
      <c r="F1072">
        <v>67.186833101709396</v>
      </c>
      <c r="G1072">
        <v>58.588285998416701</v>
      </c>
      <c r="H1072">
        <v>66.740863199953097</v>
      </c>
      <c r="I1072">
        <v>20351</v>
      </c>
      <c r="J1072">
        <v>66.6666666666666</v>
      </c>
      <c r="K1072">
        <v>12</v>
      </c>
      <c r="L1072" t="b">
        <v>1</v>
      </c>
      <c r="M1072" s="2" t="s">
        <v>100</v>
      </c>
      <c r="N1072" s="2" t="s">
        <v>100</v>
      </c>
      <c r="O1072" t="b">
        <v>1</v>
      </c>
      <c r="P1072" s="2" t="s">
        <v>100</v>
      </c>
      <c r="Q1072">
        <v>70.2374273937494</v>
      </c>
      <c r="R1072" t="b">
        <v>0</v>
      </c>
      <c r="S1072">
        <v>42.146596858638702</v>
      </c>
      <c r="T1072" s="2" t="s">
        <v>100</v>
      </c>
      <c r="U1072" s="2" t="s">
        <v>100</v>
      </c>
      <c r="V1072" t="b">
        <v>1</v>
      </c>
      <c r="W1072" t="b">
        <v>1</v>
      </c>
      <c r="X1072">
        <v>53.1941031941031</v>
      </c>
    </row>
    <row r="1073" spans="3:24" x14ac:dyDescent="0.35">
      <c r="C1073" s="2" t="s">
        <v>97</v>
      </c>
      <c r="D1073" s="3">
        <v>45016</v>
      </c>
      <c r="E1073">
        <v>93.205961364687198</v>
      </c>
      <c r="F1073">
        <v>70.785384890464996</v>
      </c>
      <c r="G1073">
        <v>52.249434577712798</v>
      </c>
      <c r="H1073">
        <v>65.278234821326706</v>
      </c>
      <c r="I1073">
        <v>26418</v>
      </c>
      <c r="J1073">
        <v>66.6666666666666</v>
      </c>
      <c r="K1073">
        <v>14</v>
      </c>
      <c r="L1073" t="b">
        <v>1</v>
      </c>
      <c r="M1073" s="2" t="s">
        <v>100</v>
      </c>
      <c r="N1073" s="2" t="s">
        <v>100</v>
      </c>
      <c r="O1073" t="b">
        <v>1</v>
      </c>
      <c r="P1073" s="2" t="s">
        <v>100</v>
      </c>
      <c r="Q1073">
        <v>71.154811864450707</v>
      </c>
      <c r="R1073" t="b">
        <v>0</v>
      </c>
      <c r="S1073">
        <v>41.8032786885245</v>
      </c>
      <c r="T1073" s="2" t="s">
        <v>100</v>
      </c>
      <c r="U1073" s="2" t="s">
        <v>100</v>
      </c>
      <c r="V1073" t="b">
        <v>1</v>
      </c>
      <c r="W1073" t="b">
        <v>1</v>
      </c>
      <c r="X1073">
        <v>54.145728643216103</v>
      </c>
    </row>
    <row r="1074" spans="3:24" x14ac:dyDescent="0.35">
      <c r="C1074" s="2" t="s">
        <v>97</v>
      </c>
      <c r="D1074" s="3">
        <v>44651</v>
      </c>
      <c r="E1074">
        <v>96.045846977433499</v>
      </c>
      <c r="F1074">
        <v>74.283177708595801</v>
      </c>
      <c r="G1074">
        <v>73.199355605605604</v>
      </c>
      <c r="H1074">
        <v>76.822286936520698</v>
      </c>
      <c r="I1074">
        <v>24823</v>
      </c>
      <c r="J1074">
        <v>70.588235294117595</v>
      </c>
      <c r="K1074">
        <v>14</v>
      </c>
      <c r="L1074" t="b">
        <v>1</v>
      </c>
      <c r="M1074" s="2" t="s">
        <v>100</v>
      </c>
      <c r="N1074" s="2" t="s">
        <v>100</v>
      </c>
      <c r="O1074" t="b">
        <v>1</v>
      </c>
      <c r="P1074" s="2" t="s">
        <v>100</v>
      </c>
      <c r="Q1074">
        <v>73.521960578472303</v>
      </c>
      <c r="R1074" t="b">
        <v>0</v>
      </c>
      <c r="S1074">
        <v>42.9166666666666</v>
      </c>
      <c r="T1074" s="2" t="s">
        <v>100</v>
      </c>
      <c r="U1074" s="2" t="s">
        <v>100</v>
      </c>
      <c r="V1074" t="b">
        <v>1</v>
      </c>
      <c r="W1074" t="b">
        <v>1</v>
      </c>
      <c r="X1074">
        <v>55.236907730673302</v>
      </c>
    </row>
    <row r="1075" spans="3:24" x14ac:dyDescent="0.35">
      <c r="C1075" s="2" t="s">
        <v>97</v>
      </c>
      <c r="D1075" s="3">
        <v>44286</v>
      </c>
      <c r="E1075">
        <v>89.466560167033805</v>
      </c>
      <c r="F1075">
        <v>73.2546951265319</v>
      </c>
      <c r="G1075">
        <v>62.557999446842999</v>
      </c>
      <c r="H1075">
        <v>70.534579815244598</v>
      </c>
      <c r="I1075">
        <v>23714</v>
      </c>
      <c r="J1075">
        <v>56.25</v>
      </c>
      <c r="K1075">
        <v>14</v>
      </c>
      <c r="L1075" t="b">
        <v>1</v>
      </c>
      <c r="M1075" s="2" t="s">
        <v>100</v>
      </c>
      <c r="N1075" s="2" t="s">
        <v>100</v>
      </c>
      <c r="O1075" t="b">
        <v>1</v>
      </c>
      <c r="P1075" s="2" t="s">
        <v>100</v>
      </c>
      <c r="Q1075">
        <v>75.621147307915805</v>
      </c>
      <c r="R1075" t="b">
        <v>0</v>
      </c>
      <c r="S1075">
        <v>43.809523809523803</v>
      </c>
      <c r="T1075" s="2" t="s">
        <v>100</v>
      </c>
      <c r="U1075" s="2" t="s">
        <v>100</v>
      </c>
      <c r="V1075" t="b">
        <v>1</v>
      </c>
      <c r="W1075" t="b">
        <v>1</v>
      </c>
      <c r="X1075">
        <v>57.123287671232802</v>
      </c>
    </row>
    <row r="1076" spans="3:24" x14ac:dyDescent="0.35">
      <c r="C1076" s="2" t="s">
        <v>97</v>
      </c>
      <c r="D1076" s="3">
        <v>43921</v>
      </c>
      <c r="E1076">
        <v>90.488766700220395</v>
      </c>
      <c r="F1076">
        <v>73.9484033577247</v>
      </c>
      <c r="G1076">
        <v>75.001628001627907</v>
      </c>
      <c r="H1076">
        <v>76.753481224039106</v>
      </c>
      <c r="I1076">
        <v>30144</v>
      </c>
      <c r="J1076">
        <v>61.1111111111111</v>
      </c>
      <c r="K1076">
        <v>13</v>
      </c>
      <c r="L1076" t="b">
        <v>1</v>
      </c>
      <c r="M1076" s="2" t="s">
        <v>100</v>
      </c>
      <c r="N1076" s="2" t="s">
        <v>100</v>
      </c>
      <c r="O1076" t="b">
        <v>1</v>
      </c>
      <c r="P1076" s="2" t="s">
        <v>100</v>
      </c>
      <c r="Q1076">
        <v>78.200069035947806</v>
      </c>
      <c r="R1076" t="b">
        <v>0</v>
      </c>
      <c r="S1076">
        <v>43.7735849056603</v>
      </c>
      <c r="T1076" s="2" t="s">
        <v>100</v>
      </c>
      <c r="U1076" s="2" t="s">
        <v>100</v>
      </c>
      <c r="V1076" t="b">
        <v>1</v>
      </c>
      <c r="W1076" t="b">
        <v>1</v>
      </c>
      <c r="X1076">
        <v>59.908536585365802</v>
      </c>
    </row>
    <row r="1077" spans="3:24" x14ac:dyDescent="0.35">
      <c r="C1077" s="2" t="s">
        <v>97</v>
      </c>
      <c r="D1077" s="3">
        <v>43555</v>
      </c>
      <c r="E1077">
        <v>95.856705097568906</v>
      </c>
      <c r="F1077">
        <v>65.672875936187594</v>
      </c>
      <c r="G1077">
        <v>45.528552456839201</v>
      </c>
      <c r="H1077">
        <v>60.447249566078597</v>
      </c>
      <c r="I1077">
        <v>31499</v>
      </c>
      <c r="J1077">
        <v>56.25</v>
      </c>
      <c r="K1077">
        <v>16</v>
      </c>
      <c r="L1077" t="b">
        <v>1</v>
      </c>
      <c r="M1077">
        <v>942</v>
      </c>
      <c r="N1077" s="2" t="s">
        <v>100</v>
      </c>
      <c r="O1077" t="b">
        <v>1</v>
      </c>
      <c r="P1077" s="2" t="s">
        <v>100</v>
      </c>
      <c r="Q1077">
        <v>80.269779293880703</v>
      </c>
      <c r="R1077" t="b">
        <v>0</v>
      </c>
      <c r="S1077">
        <v>45.238095238095198</v>
      </c>
      <c r="T1077" s="2" t="s">
        <v>100</v>
      </c>
      <c r="U1077" s="2" t="s">
        <v>100</v>
      </c>
      <c r="V1077" t="b">
        <v>1</v>
      </c>
      <c r="W1077" t="b">
        <v>1</v>
      </c>
      <c r="X1077">
        <v>58.305084745762699</v>
      </c>
    </row>
    <row r="1078" spans="3:24" x14ac:dyDescent="0.35">
      <c r="C1078" s="2" t="s">
        <v>97</v>
      </c>
      <c r="D1078" s="3">
        <v>43190</v>
      </c>
      <c r="E1078">
        <v>95.903644244028598</v>
      </c>
      <c r="F1078">
        <v>68.840987134509902</v>
      </c>
      <c r="G1078">
        <v>75.624584931938301</v>
      </c>
      <c r="H1078">
        <v>75.315658760360293</v>
      </c>
      <c r="I1078">
        <v>34562</v>
      </c>
      <c r="J1078">
        <v>68.75</v>
      </c>
      <c r="K1078">
        <v>15</v>
      </c>
      <c r="L1078" t="b">
        <v>1</v>
      </c>
      <c r="M1078">
        <v>922</v>
      </c>
      <c r="N1078" s="2" t="s">
        <v>100</v>
      </c>
      <c r="O1078" t="b">
        <v>1</v>
      </c>
      <c r="P1078" s="2" t="s">
        <v>100</v>
      </c>
      <c r="Q1078">
        <v>82.220517481419506</v>
      </c>
      <c r="R1078" s="2" t="s">
        <v>100</v>
      </c>
      <c r="S1078">
        <v>46.534653465346501</v>
      </c>
      <c r="T1078" s="2" t="s">
        <v>100</v>
      </c>
      <c r="U1078" s="2" t="s">
        <v>100</v>
      </c>
      <c r="V1078" t="b">
        <v>1</v>
      </c>
      <c r="W1078" t="b">
        <v>1</v>
      </c>
      <c r="X1078">
        <v>59.677419354838698</v>
      </c>
    </row>
    <row r="1079" spans="3:24" x14ac:dyDescent="0.35">
      <c r="C1079" s="2" t="s">
        <v>97</v>
      </c>
      <c r="D1079" s="3">
        <v>42825</v>
      </c>
      <c r="E1079">
        <v>96.194518139210302</v>
      </c>
      <c r="F1079">
        <v>69.424121397805607</v>
      </c>
      <c r="G1079">
        <v>70.1663939091233</v>
      </c>
      <c r="H1079">
        <v>73.028695844807999</v>
      </c>
      <c r="I1079">
        <v>36902</v>
      </c>
      <c r="J1079">
        <v>66.6666666666666</v>
      </c>
      <c r="K1079">
        <v>15</v>
      </c>
      <c r="L1079" t="b">
        <v>1</v>
      </c>
      <c r="M1079">
        <v>841</v>
      </c>
      <c r="N1079" s="2" t="s">
        <v>100</v>
      </c>
      <c r="O1079" t="b">
        <v>1</v>
      </c>
      <c r="P1079" s="2" t="s">
        <v>100</v>
      </c>
      <c r="Q1079">
        <v>85.960763534790999</v>
      </c>
      <c r="R1079" s="2" t="s">
        <v>100</v>
      </c>
      <c r="S1079">
        <v>45.454545454545404</v>
      </c>
      <c r="T1079" s="2" t="s">
        <v>100</v>
      </c>
      <c r="U1079" s="2" t="s">
        <v>100</v>
      </c>
      <c r="V1079" t="b">
        <v>1</v>
      </c>
      <c r="W1079" t="b">
        <v>1</v>
      </c>
      <c r="X1079">
        <v>63.738738738738697</v>
      </c>
    </row>
    <row r="1080" spans="3:24" x14ac:dyDescent="0.35">
      <c r="C1080" s="2" t="s">
        <v>97</v>
      </c>
      <c r="D1080" s="3">
        <v>42460</v>
      </c>
      <c r="E1080">
        <v>95.515161097642405</v>
      </c>
      <c r="F1080">
        <v>66.301391280809099</v>
      </c>
      <c r="G1080">
        <v>55.045675332560499</v>
      </c>
      <c r="H1080">
        <v>64.693479586288106</v>
      </c>
      <c r="I1080">
        <v>38496</v>
      </c>
      <c r="J1080">
        <v>64.705882352941103</v>
      </c>
      <c r="K1080">
        <v>16</v>
      </c>
      <c r="L1080" t="b">
        <v>1</v>
      </c>
      <c r="M1080">
        <v>1011</v>
      </c>
      <c r="N1080" s="2" t="s">
        <v>100</v>
      </c>
      <c r="O1080" t="b">
        <v>1</v>
      </c>
      <c r="P1080" s="2" t="s">
        <v>100</v>
      </c>
      <c r="Q1080">
        <v>86.761782529177495</v>
      </c>
      <c r="R1080" s="2" t="s">
        <v>100</v>
      </c>
      <c r="S1080">
        <v>48.571428571428498</v>
      </c>
      <c r="T1080" s="2" t="s">
        <v>100</v>
      </c>
      <c r="U1080" s="2" t="s">
        <v>100</v>
      </c>
      <c r="V1080" t="b">
        <v>1</v>
      </c>
      <c r="W1080" t="b">
        <v>1</v>
      </c>
      <c r="X1080">
        <v>63.315217391304301</v>
      </c>
    </row>
    <row r="1081" spans="3:24" x14ac:dyDescent="0.35">
      <c r="C1081" s="2" t="s">
        <v>98</v>
      </c>
      <c r="D1081" s="3">
        <v>45913</v>
      </c>
      <c r="E1081">
        <v>84.197559077688894</v>
      </c>
      <c r="F1081">
        <v>64.236321888817997</v>
      </c>
      <c r="G1081">
        <v>60.680509868420998</v>
      </c>
      <c r="H1081">
        <v>69.043693151118504</v>
      </c>
      <c r="I1081">
        <v>2482000</v>
      </c>
      <c r="J1081">
        <v>60</v>
      </c>
      <c r="K1081">
        <v>9</v>
      </c>
      <c r="L1081" t="b">
        <v>1</v>
      </c>
      <c r="M1081">
        <v>510000</v>
      </c>
      <c r="N1081" s="2" t="s">
        <v>100</v>
      </c>
      <c r="O1081" t="b">
        <v>1</v>
      </c>
      <c r="P1081" s="2" t="s">
        <v>100</v>
      </c>
      <c r="Q1081">
        <v>69.909916611739803</v>
      </c>
      <c r="R1081" t="b">
        <v>0</v>
      </c>
      <c r="S1081">
        <v>85.4166666666666</v>
      </c>
      <c r="T1081">
        <v>1.7987</v>
      </c>
      <c r="U1081" s="2" t="s">
        <v>100</v>
      </c>
      <c r="V1081" t="b">
        <v>1</v>
      </c>
      <c r="W1081" t="b">
        <v>1</v>
      </c>
      <c r="X1081">
        <v>55.393258426966298</v>
      </c>
    </row>
    <row r="1082" spans="3:24" x14ac:dyDescent="0.35">
      <c r="C1082" s="2" t="s">
        <v>98</v>
      </c>
      <c r="D1082" s="3">
        <v>45549</v>
      </c>
      <c r="E1082">
        <v>77.705427566065694</v>
      </c>
      <c r="F1082">
        <v>61.058237837628397</v>
      </c>
      <c r="G1082">
        <v>48.960291991337698</v>
      </c>
      <c r="H1082">
        <v>62.681624359977199</v>
      </c>
      <c r="I1082">
        <v>2868000</v>
      </c>
      <c r="J1082">
        <v>60</v>
      </c>
      <c r="K1082">
        <v>9</v>
      </c>
      <c r="L1082" t="b">
        <v>1</v>
      </c>
      <c r="M1082">
        <v>609000</v>
      </c>
      <c r="N1082" s="2" t="s">
        <v>100</v>
      </c>
      <c r="O1082" t="b">
        <v>1</v>
      </c>
      <c r="P1082" s="2" t="s">
        <v>100</v>
      </c>
      <c r="Q1082">
        <v>70.2374273937494</v>
      </c>
      <c r="R1082" t="b">
        <v>0</v>
      </c>
      <c r="S1082">
        <v>86.848072562358198</v>
      </c>
      <c r="T1082">
        <v>1.7393400000000001</v>
      </c>
      <c r="U1082" s="2" t="s">
        <v>100</v>
      </c>
      <c r="V1082" t="b">
        <v>1</v>
      </c>
      <c r="W1082" t="b">
        <v>1</v>
      </c>
      <c r="X1082">
        <v>56.703296703296701</v>
      </c>
    </row>
    <row r="1083" spans="3:24" x14ac:dyDescent="0.35">
      <c r="C1083" s="2" t="s">
        <v>98</v>
      </c>
      <c r="D1083" s="3">
        <v>45185</v>
      </c>
      <c r="E1083">
        <v>80.492825528434395</v>
      </c>
      <c r="F1083">
        <v>59.275052144631601</v>
      </c>
      <c r="G1083">
        <v>50.493066255778103</v>
      </c>
      <c r="H1083">
        <v>63.0781895466626</v>
      </c>
      <c r="I1083">
        <v>2834000</v>
      </c>
      <c r="J1083">
        <v>54.545454545454497</v>
      </c>
      <c r="K1083">
        <v>9</v>
      </c>
      <c r="L1083" t="b">
        <v>1</v>
      </c>
      <c r="M1083">
        <v>510000</v>
      </c>
      <c r="N1083" s="2" t="s">
        <v>100</v>
      </c>
      <c r="O1083" t="b">
        <v>1</v>
      </c>
      <c r="P1083" s="2" t="s">
        <v>100</v>
      </c>
      <c r="Q1083">
        <v>71.154811864450707</v>
      </c>
      <c r="R1083" t="b">
        <v>0</v>
      </c>
      <c r="S1083">
        <v>70.794392523364394</v>
      </c>
      <c r="T1083">
        <v>1.5769299999999999</v>
      </c>
      <c r="U1083">
        <v>70</v>
      </c>
      <c r="V1083" t="b">
        <v>1</v>
      </c>
      <c r="W1083" t="b">
        <v>1</v>
      </c>
      <c r="X1083">
        <v>58.3333333333333</v>
      </c>
    </row>
    <row r="1084" spans="3:24" x14ac:dyDescent="0.35">
      <c r="C1084" s="2" t="s">
        <v>98</v>
      </c>
      <c r="D1084" s="3">
        <v>44821</v>
      </c>
      <c r="E1084">
        <v>92.522086769420497</v>
      </c>
      <c r="F1084">
        <v>63.702887814944297</v>
      </c>
      <c r="G1084">
        <v>53.247372372372297</v>
      </c>
      <c r="H1084">
        <v>69.253263160841797</v>
      </c>
      <c r="I1084">
        <v>2970000</v>
      </c>
      <c r="J1084">
        <v>55.5555555555555</v>
      </c>
      <c r="K1084">
        <v>9</v>
      </c>
      <c r="L1084" t="b">
        <v>1</v>
      </c>
      <c r="M1084">
        <v>575000</v>
      </c>
      <c r="N1084" s="2" t="s">
        <v>100</v>
      </c>
      <c r="O1084" t="b">
        <v>1</v>
      </c>
      <c r="P1084" s="2" t="s">
        <v>100</v>
      </c>
      <c r="Q1084">
        <v>73.521960578472303</v>
      </c>
      <c r="R1084" t="b">
        <v>0</v>
      </c>
      <c r="S1084">
        <v>72.303921568627402</v>
      </c>
      <c r="T1084">
        <v>1.48556</v>
      </c>
      <c r="U1084">
        <v>70</v>
      </c>
      <c r="V1084" t="b">
        <v>1</v>
      </c>
      <c r="W1084" t="b">
        <v>1</v>
      </c>
      <c r="X1084">
        <v>61.738148984198602</v>
      </c>
    </row>
    <row r="1085" spans="3:24" x14ac:dyDescent="0.35">
      <c r="C1085" s="2" t="s">
        <v>98</v>
      </c>
      <c r="D1085" s="3">
        <v>44457</v>
      </c>
      <c r="E1085">
        <v>92.992458234659907</v>
      </c>
      <c r="F1085">
        <v>76.520567172309796</v>
      </c>
      <c r="G1085">
        <v>52.543201716349202</v>
      </c>
      <c r="H1085">
        <v>74.990100769221897</v>
      </c>
      <c r="I1085">
        <v>3004000</v>
      </c>
      <c r="J1085">
        <v>55.5555555555555</v>
      </c>
      <c r="K1085">
        <v>9</v>
      </c>
      <c r="L1085" t="b">
        <v>1</v>
      </c>
      <c r="M1085">
        <v>560000</v>
      </c>
      <c r="N1085" s="2" t="s">
        <v>100</v>
      </c>
      <c r="O1085" t="b">
        <v>1</v>
      </c>
      <c r="P1085" s="2" t="s">
        <v>100</v>
      </c>
      <c r="Q1085">
        <v>75.621147307915805</v>
      </c>
      <c r="R1085" s="2" t="s">
        <v>100</v>
      </c>
      <c r="S1085">
        <v>89.048991354466807</v>
      </c>
      <c r="T1085">
        <v>1.51667</v>
      </c>
      <c r="U1085" s="2" t="s">
        <v>100</v>
      </c>
      <c r="V1085" t="b">
        <v>1</v>
      </c>
      <c r="W1085" t="b">
        <v>1</v>
      </c>
      <c r="X1085">
        <v>61.866666666666603</v>
      </c>
    </row>
    <row r="1086" spans="3:24" x14ac:dyDescent="0.35">
      <c r="C1086" s="2" t="s">
        <v>98</v>
      </c>
      <c r="D1086" s="3">
        <v>44086</v>
      </c>
      <c r="E1086">
        <v>93.592064480372102</v>
      </c>
      <c r="F1086">
        <v>77.825991822444294</v>
      </c>
      <c r="G1086">
        <v>57.264550264550202</v>
      </c>
      <c r="H1086">
        <v>76.985096185069594</v>
      </c>
      <c r="I1086">
        <v>3313000</v>
      </c>
      <c r="J1086">
        <v>50</v>
      </c>
      <c r="K1086">
        <v>8</v>
      </c>
      <c r="L1086" t="b">
        <v>1</v>
      </c>
      <c r="M1086">
        <v>574000</v>
      </c>
      <c r="N1086" s="2" t="s">
        <v>100</v>
      </c>
      <c r="O1086" t="b">
        <v>1</v>
      </c>
      <c r="P1086">
        <v>1311177</v>
      </c>
      <c r="Q1086">
        <v>78.200069035947806</v>
      </c>
      <c r="R1086" s="2" t="s">
        <v>100</v>
      </c>
      <c r="S1086">
        <v>87.162162162162105</v>
      </c>
      <c r="T1086">
        <v>1.5102100000000001</v>
      </c>
      <c r="U1086" s="2" t="s">
        <v>100</v>
      </c>
      <c r="V1086" t="b">
        <v>1</v>
      </c>
      <c r="W1086" t="b">
        <v>1</v>
      </c>
      <c r="X1086">
        <v>62.839879154078503</v>
      </c>
    </row>
    <row r="1087" spans="3:24" x14ac:dyDescent="0.35">
      <c r="C1087" s="2" t="s">
        <v>98</v>
      </c>
      <c r="D1087" s="3">
        <v>43722</v>
      </c>
      <c r="E1087">
        <v>92.439483340564706</v>
      </c>
      <c r="F1087">
        <v>75.777806391455101</v>
      </c>
      <c r="G1087">
        <v>51.687106645880199</v>
      </c>
      <c r="H1087">
        <v>74.2722709512813</v>
      </c>
      <c r="I1087">
        <v>3993011</v>
      </c>
      <c r="J1087">
        <v>55.5555555555555</v>
      </c>
      <c r="K1087">
        <v>8</v>
      </c>
      <c r="L1087" t="b">
        <v>1</v>
      </c>
      <c r="M1087">
        <v>632000</v>
      </c>
      <c r="N1087" s="2" t="s">
        <v>100</v>
      </c>
      <c r="O1087" t="b">
        <v>1</v>
      </c>
      <c r="P1087" s="2" t="s">
        <v>100</v>
      </c>
      <c r="Q1087">
        <v>80.269779293880703</v>
      </c>
      <c r="R1087" s="2" t="s">
        <v>100</v>
      </c>
      <c r="S1087">
        <v>86.516853932584198</v>
      </c>
      <c r="T1087">
        <v>2.4692799999999999</v>
      </c>
      <c r="U1087" s="2" t="s">
        <v>100</v>
      </c>
      <c r="V1087" t="b">
        <v>1</v>
      </c>
      <c r="W1087" t="b">
        <v>1</v>
      </c>
      <c r="X1087">
        <v>60.975609756097498</v>
      </c>
    </row>
    <row r="1088" spans="3:24" x14ac:dyDescent="0.35">
      <c r="C1088" s="2" t="s">
        <v>98</v>
      </c>
      <c r="D1088" s="3">
        <v>43358</v>
      </c>
      <c r="E1088">
        <v>88.900588489022397</v>
      </c>
      <c r="F1088">
        <v>71.381278786825405</v>
      </c>
      <c r="G1088">
        <v>65.765110374898896</v>
      </c>
      <c r="H1088">
        <v>74.948641641525398</v>
      </c>
      <c r="I1088">
        <v>4153000</v>
      </c>
      <c r="J1088">
        <v>63.636363636363598</v>
      </c>
      <c r="K1088">
        <v>9</v>
      </c>
      <c r="L1088" t="b">
        <v>1</v>
      </c>
      <c r="M1088">
        <v>770000</v>
      </c>
      <c r="N1088" s="2" t="s">
        <v>100</v>
      </c>
      <c r="O1088" t="b">
        <v>1</v>
      </c>
      <c r="P1088" s="2" t="s">
        <v>100</v>
      </c>
      <c r="Q1088">
        <v>82.220517481419506</v>
      </c>
      <c r="R1088" s="2" t="s">
        <v>100</v>
      </c>
      <c r="S1088">
        <v>69.594594594594497</v>
      </c>
      <c r="T1088">
        <v>3.339</v>
      </c>
      <c r="U1088" s="2" t="s">
        <v>100</v>
      </c>
      <c r="V1088" t="b">
        <v>1</v>
      </c>
      <c r="W1088" t="b">
        <v>1</v>
      </c>
      <c r="X1088">
        <v>0</v>
      </c>
    </row>
    <row r="1089" spans="3:24" x14ac:dyDescent="0.35">
      <c r="C1089" s="2" t="s">
        <v>98</v>
      </c>
      <c r="D1089" s="3">
        <v>42994</v>
      </c>
      <c r="E1089">
        <v>88.348530244663706</v>
      </c>
      <c r="F1089">
        <v>72.858927984170606</v>
      </c>
      <c r="G1089">
        <v>60.950164481064</v>
      </c>
      <c r="H1089">
        <v>74.199078661991294</v>
      </c>
      <c r="I1089">
        <v>4243000</v>
      </c>
      <c r="J1089">
        <v>55.5555555555555</v>
      </c>
      <c r="K1089">
        <v>9</v>
      </c>
      <c r="L1089" t="b">
        <v>1</v>
      </c>
      <c r="M1089">
        <v>998000</v>
      </c>
      <c r="N1089" s="2" t="s">
        <v>100</v>
      </c>
      <c r="O1089" t="b">
        <v>1</v>
      </c>
      <c r="P1089" s="2" t="s">
        <v>100</v>
      </c>
      <c r="Q1089">
        <v>85.960763534790999</v>
      </c>
      <c r="R1089" s="2" t="s">
        <v>100</v>
      </c>
      <c r="S1089">
        <v>72.2222222222222</v>
      </c>
      <c r="T1089">
        <v>3.198</v>
      </c>
      <c r="U1089" s="2" t="s">
        <v>100</v>
      </c>
      <c r="V1089" t="b">
        <v>1</v>
      </c>
      <c r="W1089" t="b">
        <v>1</v>
      </c>
      <c r="X1089">
        <v>0</v>
      </c>
    </row>
    <row r="1090" spans="3:24" x14ac:dyDescent="0.35">
      <c r="C1090" s="2" t="s">
        <v>98</v>
      </c>
      <c r="D1090" s="3">
        <v>42630</v>
      </c>
      <c r="E1090">
        <v>83.843734785983997</v>
      </c>
      <c r="F1090">
        <v>70.341572922752903</v>
      </c>
      <c r="G1090">
        <v>74.5119225037257</v>
      </c>
      <c r="H1090">
        <v>75.311226004748406</v>
      </c>
      <c r="I1090">
        <v>4892000</v>
      </c>
      <c r="J1090">
        <v>63.636363636363598</v>
      </c>
      <c r="K1090">
        <v>9</v>
      </c>
      <c r="L1090" t="b">
        <v>1</v>
      </c>
      <c r="M1090">
        <v>1000000</v>
      </c>
      <c r="N1090" s="2" t="s">
        <v>100</v>
      </c>
      <c r="O1090" t="b">
        <v>1</v>
      </c>
      <c r="P1090" s="2" t="s">
        <v>100</v>
      </c>
      <c r="Q1090">
        <v>86.761782529177495</v>
      </c>
      <c r="R1090" s="2" t="s">
        <v>100</v>
      </c>
      <c r="S1090">
        <v>72.965116279069704</v>
      </c>
      <c r="T1090" s="2" t="s">
        <v>100</v>
      </c>
      <c r="U1090" s="2" t="s">
        <v>100</v>
      </c>
      <c r="V1090" t="b">
        <v>1</v>
      </c>
      <c r="W1090" t="b">
        <v>1</v>
      </c>
      <c r="X1090">
        <v>0</v>
      </c>
    </row>
    <row r="1091" spans="3:24" x14ac:dyDescent="0.35">
      <c r="C1091" s="2" t="s">
        <v>98</v>
      </c>
      <c r="D1091" s="3">
        <v>45930</v>
      </c>
      <c r="E1091" s="2" t="s">
        <v>100</v>
      </c>
      <c r="F1091" s="2" t="s">
        <v>100</v>
      </c>
      <c r="G1091" s="2" t="s">
        <v>100</v>
      </c>
      <c r="H1091" s="2" t="s">
        <v>100</v>
      </c>
      <c r="I1091" s="2" t="s">
        <v>100</v>
      </c>
      <c r="J1091" s="2" t="s">
        <v>100</v>
      </c>
      <c r="K1091" s="2" t="s">
        <v>100</v>
      </c>
      <c r="L1091" s="2" t="s">
        <v>100</v>
      </c>
      <c r="M1091" s="2" t="s">
        <v>100</v>
      </c>
      <c r="N1091" s="2" t="s">
        <v>100</v>
      </c>
      <c r="O1091" s="2" t="s">
        <v>100</v>
      </c>
      <c r="P1091" s="2" t="s">
        <v>100</v>
      </c>
      <c r="Q1091" s="2" t="s">
        <v>100</v>
      </c>
      <c r="R1091" s="2" t="s">
        <v>100</v>
      </c>
      <c r="S1091" s="2" t="s">
        <v>100</v>
      </c>
      <c r="T1091" s="2" t="s">
        <v>100</v>
      </c>
      <c r="U1091" s="2" t="s">
        <v>100</v>
      </c>
      <c r="V1091" s="2" t="s">
        <v>100</v>
      </c>
      <c r="W1091" s="2" t="s">
        <v>100</v>
      </c>
      <c r="X1091" s="2" t="s">
        <v>100</v>
      </c>
    </row>
    <row r="1092" spans="3:24" x14ac:dyDescent="0.35">
      <c r="C1092" s="2" t="s">
        <v>98</v>
      </c>
      <c r="D1092" s="3">
        <v>45565</v>
      </c>
      <c r="E1092" s="2" t="s">
        <v>100</v>
      </c>
      <c r="F1092" s="2" t="s">
        <v>100</v>
      </c>
      <c r="G1092" s="2" t="s">
        <v>100</v>
      </c>
      <c r="H1092" s="2" t="s">
        <v>100</v>
      </c>
      <c r="I1092" s="2" t="s">
        <v>100</v>
      </c>
      <c r="J1092" s="2" t="s">
        <v>100</v>
      </c>
      <c r="K1092" s="2" t="s">
        <v>100</v>
      </c>
      <c r="L1092" s="2" t="s">
        <v>100</v>
      </c>
      <c r="M1092" s="2" t="s">
        <v>100</v>
      </c>
      <c r="N1092" s="2" t="s">
        <v>100</v>
      </c>
      <c r="O1092" s="2" t="s">
        <v>100</v>
      </c>
      <c r="P1092" s="2" t="s">
        <v>100</v>
      </c>
      <c r="Q1092" s="2" t="s">
        <v>100</v>
      </c>
      <c r="R1092" s="2" t="s">
        <v>100</v>
      </c>
      <c r="S1092" s="2" t="s">
        <v>100</v>
      </c>
      <c r="T1092" s="2" t="s">
        <v>100</v>
      </c>
      <c r="U1092" s="2" t="s">
        <v>100</v>
      </c>
      <c r="V1092" s="2" t="s">
        <v>100</v>
      </c>
      <c r="W1092" s="2" t="s">
        <v>100</v>
      </c>
      <c r="X1092" s="2" t="s">
        <v>100</v>
      </c>
    </row>
    <row r="1093" spans="3:24" x14ac:dyDescent="0.35">
      <c r="C1093" s="2" t="s">
        <v>98</v>
      </c>
      <c r="D1093" s="3">
        <v>45199</v>
      </c>
      <c r="E1093" s="2" t="s">
        <v>100</v>
      </c>
      <c r="F1093" s="2" t="s">
        <v>100</v>
      </c>
      <c r="G1093" s="2" t="s">
        <v>100</v>
      </c>
      <c r="H1093" s="2" t="s">
        <v>100</v>
      </c>
      <c r="I1093" s="2" t="s">
        <v>100</v>
      </c>
      <c r="J1093" s="2" t="s">
        <v>100</v>
      </c>
      <c r="K1093" s="2" t="s">
        <v>100</v>
      </c>
      <c r="L1093" s="2" t="s">
        <v>100</v>
      </c>
      <c r="M1093" s="2" t="s">
        <v>100</v>
      </c>
      <c r="N1093" s="2" t="s">
        <v>100</v>
      </c>
      <c r="O1093" s="2" t="s">
        <v>100</v>
      </c>
      <c r="P1093" s="2" t="s">
        <v>100</v>
      </c>
      <c r="Q1093" s="2" t="s">
        <v>100</v>
      </c>
      <c r="R1093" s="2" t="s">
        <v>100</v>
      </c>
      <c r="S1093" s="2" t="s">
        <v>100</v>
      </c>
      <c r="T1093" s="2" t="s">
        <v>100</v>
      </c>
      <c r="U1093" s="2" t="s">
        <v>100</v>
      </c>
      <c r="V1093" s="2" t="s">
        <v>100</v>
      </c>
      <c r="W1093" s="2" t="s">
        <v>100</v>
      </c>
      <c r="X1093" s="2" t="s">
        <v>100</v>
      </c>
    </row>
    <row r="1094" spans="3:24" x14ac:dyDescent="0.35">
      <c r="C1094" s="2" t="s">
        <v>98</v>
      </c>
      <c r="D1094" s="3">
        <v>44834</v>
      </c>
      <c r="E1094" s="2" t="s">
        <v>100</v>
      </c>
      <c r="F1094" s="2" t="s">
        <v>100</v>
      </c>
      <c r="G1094" s="2" t="s">
        <v>100</v>
      </c>
      <c r="H1094" s="2" t="s">
        <v>100</v>
      </c>
      <c r="I1094" s="2" t="s">
        <v>100</v>
      </c>
      <c r="J1094" s="2" t="s">
        <v>100</v>
      </c>
      <c r="K1094" s="2" t="s">
        <v>100</v>
      </c>
      <c r="L1094" s="2" t="s">
        <v>100</v>
      </c>
      <c r="M1094" s="2" t="s">
        <v>100</v>
      </c>
      <c r="N1094" s="2" t="s">
        <v>100</v>
      </c>
      <c r="O1094" s="2" t="s">
        <v>100</v>
      </c>
      <c r="P1094" s="2" t="s">
        <v>100</v>
      </c>
      <c r="Q1094" s="2" t="s">
        <v>100</v>
      </c>
      <c r="R1094" s="2" t="s">
        <v>100</v>
      </c>
      <c r="S1094" s="2" t="s">
        <v>100</v>
      </c>
      <c r="T1094" s="2" t="s">
        <v>100</v>
      </c>
      <c r="U1094" s="2" t="s">
        <v>100</v>
      </c>
      <c r="V1094" s="2" t="s">
        <v>100</v>
      </c>
      <c r="W1094" s="2" t="s">
        <v>100</v>
      </c>
      <c r="X1094" s="2" t="s">
        <v>100</v>
      </c>
    </row>
    <row r="1095" spans="3:24" x14ac:dyDescent="0.35">
      <c r="C1095" s="2" t="s">
        <v>98</v>
      </c>
      <c r="D1095" s="3">
        <v>44469</v>
      </c>
      <c r="E1095" s="2" t="s">
        <v>100</v>
      </c>
      <c r="F1095" s="2" t="s">
        <v>100</v>
      </c>
      <c r="G1095" s="2" t="s">
        <v>100</v>
      </c>
      <c r="H1095" s="2" t="s">
        <v>100</v>
      </c>
      <c r="I1095" s="2" t="s">
        <v>100</v>
      </c>
      <c r="J1095" s="2" t="s">
        <v>100</v>
      </c>
      <c r="K1095" s="2" t="s">
        <v>100</v>
      </c>
      <c r="L1095" s="2" t="s">
        <v>100</v>
      </c>
      <c r="M1095" s="2" t="s">
        <v>100</v>
      </c>
      <c r="N1095" s="2" t="s">
        <v>100</v>
      </c>
      <c r="O1095" s="2" t="s">
        <v>100</v>
      </c>
      <c r="P1095" s="2" t="s">
        <v>100</v>
      </c>
      <c r="Q1095" s="2" t="s">
        <v>100</v>
      </c>
      <c r="R1095" s="2" t="s">
        <v>100</v>
      </c>
      <c r="S1095" s="2" t="s">
        <v>100</v>
      </c>
      <c r="T1095" s="2" t="s">
        <v>100</v>
      </c>
      <c r="U1095" s="2" t="s">
        <v>100</v>
      </c>
      <c r="V1095" s="2" t="s">
        <v>100</v>
      </c>
      <c r="W1095" s="2" t="s">
        <v>100</v>
      </c>
      <c r="X1095" s="2" t="s">
        <v>100</v>
      </c>
    </row>
    <row r="1096" spans="3:24" x14ac:dyDescent="0.35">
      <c r="C1096" s="2" t="s">
        <v>98</v>
      </c>
      <c r="D1096" s="3">
        <v>43738</v>
      </c>
      <c r="E1096" s="2" t="s">
        <v>100</v>
      </c>
      <c r="F1096" s="2" t="s">
        <v>100</v>
      </c>
      <c r="G1096" s="2" t="s">
        <v>100</v>
      </c>
      <c r="H1096" s="2" t="s">
        <v>100</v>
      </c>
      <c r="I1096" s="2" t="s">
        <v>100</v>
      </c>
      <c r="J1096" s="2" t="s">
        <v>100</v>
      </c>
      <c r="K1096" s="2" t="s">
        <v>100</v>
      </c>
      <c r="L1096" s="2" t="s">
        <v>100</v>
      </c>
      <c r="M1096" s="2" t="s">
        <v>100</v>
      </c>
      <c r="N1096" s="2" t="s">
        <v>100</v>
      </c>
      <c r="O1096" s="2" t="s">
        <v>100</v>
      </c>
      <c r="P1096" s="2" t="s">
        <v>100</v>
      </c>
      <c r="Q1096" s="2" t="s">
        <v>100</v>
      </c>
      <c r="R1096" s="2" t="s">
        <v>100</v>
      </c>
      <c r="S1096" s="2" t="s">
        <v>100</v>
      </c>
      <c r="T1096" s="2" t="s">
        <v>100</v>
      </c>
      <c r="U1096" s="2" t="s">
        <v>100</v>
      </c>
      <c r="V1096" s="2" t="s">
        <v>100</v>
      </c>
      <c r="W1096" s="2" t="s">
        <v>100</v>
      </c>
      <c r="X1096" s="2" t="s">
        <v>100</v>
      </c>
    </row>
    <row r="1097" spans="3:24" x14ac:dyDescent="0.35">
      <c r="C1097" s="2" t="s">
        <v>98</v>
      </c>
      <c r="D1097" s="3">
        <v>43373</v>
      </c>
      <c r="E1097" s="2" t="s">
        <v>100</v>
      </c>
      <c r="F1097" s="2" t="s">
        <v>100</v>
      </c>
      <c r="G1097" s="2" t="s">
        <v>100</v>
      </c>
      <c r="H1097" s="2" t="s">
        <v>100</v>
      </c>
      <c r="I1097" s="2" t="s">
        <v>100</v>
      </c>
      <c r="J1097" s="2" t="s">
        <v>100</v>
      </c>
      <c r="K1097" s="2" t="s">
        <v>100</v>
      </c>
      <c r="L1097" s="2" t="s">
        <v>100</v>
      </c>
      <c r="M1097" s="2" t="s">
        <v>100</v>
      </c>
      <c r="N1097" s="2" t="s">
        <v>100</v>
      </c>
      <c r="O1097" s="2" t="s">
        <v>100</v>
      </c>
      <c r="P1097" s="2" t="s">
        <v>100</v>
      </c>
      <c r="Q1097" s="2" t="s">
        <v>100</v>
      </c>
      <c r="R1097" s="2" t="s">
        <v>100</v>
      </c>
      <c r="S1097" s="2" t="s">
        <v>100</v>
      </c>
      <c r="T1097" s="2" t="s">
        <v>100</v>
      </c>
      <c r="U1097" s="2" t="s">
        <v>100</v>
      </c>
      <c r="V1097" s="2" t="s">
        <v>100</v>
      </c>
      <c r="W1097" s="2" t="s">
        <v>100</v>
      </c>
      <c r="X1097" s="2" t="s">
        <v>100</v>
      </c>
    </row>
    <row r="1098" spans="3:24" x14ac:dyDescent="0.35">
      <c r="C1098" s="2" t="s">
        <v>98</v>
      </c>
      <c r="D1098" s="3">
        <v>43008</v>
      </c>
      <c r="E1098" s="2" t="s">
        <v>100</v>
      </c>
      <c r="F1098" s="2" t="s">
        <v>100</v>
      </c>
      <c r="G1098" s="2" t="s">
        <v>100</v>
      </c>
      <c r="H1098" s="2" t="s">
        <v>100</v>
      </c>
      <c r="I1098" s="2" t="s">
        <v>100</v>
      </c>
      <c r="J1098" s="2" t="s">
        <v>100</v>
      </c>
      <c r="K1098" s="2" t="s">
        <v>100</v>
      </c>
      <c r="L1098" s="2" t="s">
        <v>100</v>
      </c>
      <c r="M1098" s="2" t="s">
        <v>100</v>
      </c>
      <c r="N1098" s="2" t="s">
        <v>100</v>
      </c>
      <c r="O1098" s="2" t="s">
        <v>100</v>
      </c>
      <c r="P1098" s="2" t="s">
        <v>100</v>
      </c>
      <c r="Q1098" s="2" t="s">
        <v>100</v>
      </c>
      <c r="R1098" s="2" t="s">
        <v>100</v>
      </c>
      <c r="S1098" s="2" t="s">
        <v>100</v>
      </c>
      <c r="T1098" s="2" t="s">
        <v>100</v>
      </c>
      <c r="U1098" s="2" t="s">
        <v>100</v>
      </c>
      <c r="V1098" s="2" t="s">
        <v>100</v>
      </c>
      <c r="W1098" s="2" t="s">
        <v>100</v>
      </c>
      <c r="X1098" s="2" t="s">
        <v>100</v>
      </c>
    </row>
    <row r="1099" spans="3:24" x14ac:dyDescent="0.35">
      <c r="C1099" s="2" t="s">
        <v>98</v>
      </c>
      <c r="D1099" s="3">
        <v>42643</v>
      </c>
      <c r="E1099" s="2" t="s">
        <v>100</v>
      </c>
      <c r="F1099" s="2" t="s">
        <v>100</v>
      </c>
      <c r="G1099" s="2" t="s">
        <v>100</v>
      </c>
      <c r="H1099" s="2" t="s">
        <v>100</v>
      </c>
      <c r="I1099" s="2" t="s">
        <v>100</v>
      </c>
      <c r="J1099" s="2" t="s">
        <v>100</v>
      </c>
      <c r="K1099" s="2" t="s">
        <v>100</v>
      </c>
      <c r="L1099" s="2" t="s">
        <v>100</v>
      </c>
      <c r="M1099" s="2" t="s">
        <v>100</v>
      </c>
      <c r="N1099" s="2" t="s">
        <v>100</v>
      </c>
      <c r="O1099" s="2" t="s">
        <v>100</v>
      </c>
      <c r="P1099" s="2" t="s">
        <v>100</v>
      </c>
      <c r="Q1099" s="2" t="s">
        <v>100</v>
      </c>
      <c r="R1099" s="2" t="s">
        <v>100</v>
      </c>
      <c r="S1099" s="2" t="s">
        <v>100</v>
      </c>
      <c r="T1099" s="2" t="s">
        <v>100</v>
      </c>
      <c r="U1099" s="2" t="s">
        <v>100</v>
      </c>
      <c r="V1099" s="2" t="s">
        <v>100</v>
      </c>
      <c r="W1099" s="2" t="s">
        <v>100</v>
      </c>
      <c r="X1099" s="2" t="s">
        <v>100</v>
      </c>
    </row>
    <row r="1100" spans="3:24" x14ac:dyDescent="0.35">
      <c r="C1100" s="2" t="s">
        <v>98</v>
      </c>
      <c r="D1100" s="3">
        <v>44104</v>
      </c>
      <c r="E1100" s="2" t="s">
        <v>100</v>
      </c>
      <c r="F1100" s="2" t="s">
        <v>100</v>
      </c>
      <c r="G1100" s="2" t="s">
        <v>100</v>
      </c>
      <c r="H1100" s="2" t="s">
        <v>100</v>
      </c>
      <c r="I1100" s="2" t="s">
        <v>100</v>
      </c>
      <c r="J1100" s="2" t="s">
        <v>100</v>
      </c>
      <c r="K1100" s="2" t="s">
        <v>100</v>
      </c>
      <c r="L1100" s="2" t="s">
        <v>100</v>
      </c>
      <c r="M1100" s="2" t="s">
        <v>100</v>
      </c>
      <c r="N1100" s="2" t="s">
        <v>100</v>
      </c>
      <c r="O1100" s="2" t="s">
        <v>100</v>
      </c>
      <c r="P1100" s="2" t="s">
        <v>100</v>
      </c>
      <c r="Q1100" s="2" t="s">
        <v>100</v>
      </c>
      <c r="R1100" s="2" t="s">
        <v>100</v>
      </c>
      <c r="S1100" s="2" t="s">
        <v>100</v>
      </c>
      <c r="T1100" s="2" t="s">
        <v>100</v>
      </c>
      <c r="U1100" s="2" t="s">
        <v>100</v>
      </c>
      <c r="V1100" s="2" t="s">
        <v>100</v>
      </c>
      <c r="W1100" s="2" t="s">
        <v>100</v>
      </c>
      <c r="X1100" s="2" t="s">
        <v>100</v>
      </c>
    </row>
    <row r="1101" spans="3:24" x14ac:dyDescent="0.35">
      <c r="C1101" s="2" t="s">
        <v>99</v>
      </c>
      <c r="D1101" s="3">
        <v>45657</v>
      </c>
      <c r="E1101">
        <v>61.426759031300698</v>
      </c>
      <c r="F1101">
        <v>70.268566656756093</v>
      </c>
      <c r="G1101">
        <v>78.733954542778093</v>
      </c>
      <c r="H1101">
        <v>69.485214408375796</v>
      </c>
      <c r="I1101">
        <v>23282</v>
      </c>
      <c r="J1101">
        <v>80</v>
      </c>
      <c r="K1101">
        <v>9</v>
      </c>
      <c r="L1101" t="b">
        <v>1</v>
      </c>
      <c r="M1101" s="2" t="s">
        <v>100</v>
      </c>
      <c r="N1101" s="2" t="s">
        <v>100</v>
      </c>
      <c r="O1101" t="b">
        <v>1</v>
      </c>
      <c r="P1101">
        <v>122800.01226</v>
      </c>
      <c r="Q1101">
        <v>70.2374273937494</v>
      </c>
      <c r="R1101" t="b">
        <v>0</v>
      </c>
      <c r="S1101">
        <v>95.481927710843294</v>
      </c>
      <c r="T1101">
        <v>1.1000000000000001</v>
      </c>
      <c r="U1101">
        <v>81</v>
      </c>
      <c r="V1101" t="b">
        <v>1</v>
      </c>
      <c r="W1101" t="b">
        <v>1</v>
      </c>
      <c r="X1101">
        <v>53.550295857988097</v>
      </c>
    </row>
    <row r="1102" spans="3:24" x14ac:dyDescent="0.35">
      <c r="C1102" s="2" t="s">
        <v>99</v>
      </c>
      <c r="D1102" s="3">
        <v>45291</v>
      </c>
      <c r="E1102">
        <v>64.914344303565102</v>
      </c>
      <c r="F1102">
        <v>54.918254578598102</v>
      </c>
      <c r="G1102">
        <v>81.093990755007695</v>
      </c>
      <c r="H1102">
        <v>65.048595824856605</v>
      </c>
      <c r="I1102">
        <v>24544</v>
      </c>
      <c r="J1102">
        <v>81.818181818181799</v>
      </c>
      <c r="K1102">
        <v>8</v>
      </c>
      <c r="L1102" t="b">
        <v>1</v>
      </c>
      <c r="M1102" s="2" t="s">
        <v>100</v>
      </c>
      <c r="N1102" s="2" t="s">
        <v>100</v>
      </c>
      <c r="O1102" t="b">
        <v>1</v>
      </c>
      <c r="P1102">
        <v>116800</v>
      </c>
      <c r="Q1102">
        <v>71.154811864450707</v>
      </c>
      <c r="R1102" t="b">
        <v>0</v>
      </c>
      <c r="S1102">
        <v>90.060240963855406</v>
      </c>
      <c r="T1102">
        <v>1.4</v>
      </c>
      <c r="U1102">
        <v>81</v>
      </c>
      <c r="V1102" t="b">
        <v>1</v>
      </c>
      <c r="W1102" t="b">
        <v>1</v>
      </c>
      <c r="X1102">
        <v>55.294117647058798</v>
      </c>
    </row>
    <row r="1103" spans="3:24" x14ac:dyDescent="0.35">
      <c r="C1103" s="2" t="s">
        <v>99</v>
      </c>
      <c r="D1103" s="3">
        <v>44926</v>
      </c>
      <c r="E1103">
        <v>70.158618805115594</v>
      </c>
      <c r="F1103">
        <v>57.323954337188503</v>
      </c>
      <c r="G1103">
        <v>73.357482482482396</v>
      </c>
      <c r="H1103">
        <v>65.7856591527744</v>
      </c>
      <c r="I1103">
        <v>27156</v>
      </c>
      <c r="J1103">
        <v>70</v>
      </c>
      <c r="K1103">
        <v>9</v>
      </c>
      <c r="L1103" t="b">
        <v>1</v>
      </c>
      <c r="M1103" s="2" t="s">
        <v>100</v>
      </c>
      <c r="N1103" s="2" t="s">
        <v>100</v>
      </c>
      <c r="O1103" t="b">
        <v>1</v>
      </c>
      <c r="P1103">
        <v>110400</v>
      </c>
      <c r="Q1103">
        <v>73.521960578472303</v>
      </c>
      <c r="R1103" t="b">
        <v>0</v>
      </c>
      <c r="S1103">
        <v>92.1875</v>
      </c>
      <c r="T1103">
        <v>1.8</v>
      </c>
      <c r="U1103">
        <v>83</v>
      </c>
      <c r="V1103" t="b">
        <v>1</v>
      </c>
      <c r="W1103" t="b">
        <v>1</v>
      </c>
      <c r="X1103">
        <v>58.083832335329298</v>
      </c>
    </row>
    <row r="1104" spans="3:24" x14ac:dyDescent="0.35">
      <c r="C1104" s="2" t="s">
        <v>99</v>
      </c>
      <c r="D1104" s="3">
        <v>44561</v>
      </c>
      <c r="E1104">
        <v>73.462710958800997</v>
      </c>
      <c r="F1104">
        <v>58.080299805806803</v>
      </c>
      <c r="G1104">
        <v>68.398790242560807</v>
      </c>
      <c r="H1104">
        <v>65.920547633991205</v>
      </c>
      <c r="I1104">
        <v>27678</v>
      </c>
      <c r="J1104">
        <v>80</v>
      </c>
      <c r="K1104">
        <v>9</v>
      </c>
      <c r="L1104" t="b">
        <v>1</v>
      </c>
      <c r="M1104">
        <v>107129</v>
      </c>
      <c r="N1104" s="2" t="s">
        <v>100</v>
      </c>
      <c r="O1104" t="b">
        <v>1</v>
      </c>
      <c r="P1104">
        <v>105600</v>
      </c>
      <c r="Q1104">
        <v>75.621147307915805</v>
      </c>
      <c r="R1104" t="b">
        <v>0</v>
      </c>
      <c r="S1104">
        <v>91.197183098591495</v>
      </c>
      <c r="T1104">
        <v>2</v>
      </c>
      <c r="U1104">
        <v>78</v>
      </c>
      <c r="V1104" t="b">
        <v>1</v>
      </c>
      <c r="W1104" t="b">
        <v>1</v>
      </c>
      <c r="X1104">
        <v>58.6666666666666</v>
      </c>
    </row>
    <row r="1105" spans="3:24" x14ac:dyDescent="0.35">
      <c r="C1105" s="2" t="s">
        <v>99</v>
      </c>
      <c r="D1105" s="3">
        <v>44196</v>
      </c>
      <c r="E1105">
        <v>73.543956043956001</v>
      </c>
      <c r="F1105">
        <v>61.155289689977501</v>
      </c>
      <c r="G1105">
        <v>75.063492063492006</v>
      </c>
      <c r="H1105">
        <v>68.917393646965394</v>
      </c>
      <c r="I1105">
        <v>29367</v>
      </c>
      <c r="J1105">
        <v>72.727272727272705</v>
      </c>
      <c r="K1105">
        <v>8</v>
      </c>
      <c r="L1105" t="b">
        <v>1</v>
      </c>
      <c r="M1105">
        <v>98883</v>
      </c>
      <c r="N1105" s="2" t="s">
        <v>100</v>
      </c>
      <c r="O1105" t="b">
        <v>1</v>
      </c>
      <c r="P1105">
        <v>100584</v>
      </c>
      <c r="Q1105">
        <v>78.200069035947806</v>
      </c>
      <c r="R1105" s="2" t="s">
        <v>100</v>
      </c>
      <c r="S1105">
        <v>89.754098360655703</v>
      </c>
      <c r="T1105">
        <v>1.7</v>
      </c>
      <c r="U1105">
        <v>80</v>
      </c>
      <c r="V1105" t="b">
        <v>1</v>
      </c>
      <c r="W1105" t="b">
        <v>1</v>
      </c>
      <c r="X1105">
        <v>61.231884057971001</v>
      </c>
    </row>
    <row r="1106" spans="3:24" x14ac:dyDescent="0.35">
      <c r="C1106" s="2" t="s">
        <v>99</v>
      </c>
      <c r="D1106" s="3">
        <v>43830</v>
      </c>
      <c r="E1106">
        <v>74.0220981742943</v>
      </c>
      <c r="F1106">
        <v>53.906277692943803</v>
      </c>
      <c r="G1106">
        <v>84.303308505109996</v>
      </c>
      <c r="H1106">
        <v>68.530656340682199</v>
      </c>
      <c r="I1106">
        <v>34006</v>
      </c>
      <c r="J1106">
        <v>75</v>
      </c>
      <c r="K1106">
        <v>8</v>
      </c>
      <c r="L1106" t="b">
        <v>1</v>
      </c>
      <c r="M1106">
        <v>117936</v>
      </c>
      <c r="N1106" s="2" t="s">
        <v>100</v>
      </c>
      <c r="O1106" t="b">
        <v>1</v>
      </c>
      <c r="P1106">
        <v>114048</v>
      </c>
      <c r="Q1106">
        <v>80.269779293880703</v>
      </c>
      <c r="R1106" s="2" t="s">
        <v>100</v>
      </c>
      <c r="S1106">
        <v>75.688073394495405</v>
      </c>
      <c r="T1106">
        <v>1.9</v>
      </c>
      <c r="U1106" s="2" t="s">
        <v>100</v>
      </c>
      <c r="V1106" t="b">
        <v>1</v>
      </c>
      <c r="W1106" t="b">
        <v>1</v>
      </c>
      <c r="X1106">
        <v>57.438016528925601</v>
      </c>
    </row>
    <row r="1107" spans="3:24" x14ac:dyDescent="0.35">
      <c r="C1107" s="2" t="s">
        <v>99</v>
      </c>
      <c r="D1107" s="3">
        <v>43465</v>
      </c>
      <c r="E1107">
        <v>76.296631473102096</v>
      </c>
      <c r="F1107">
        <v>45.9062665349037</v>
      </c>
      <c r="G1107">
        <v>61.882843600456901</v>
      </c>
      <c r="H1107">
        <v>60.255590194872099</v>
      </c>
      <c r="I1107">
        <v>38400</v>
      </c>
      <c r="J1107">
        <v>66.6666666666666</v>
      </c>
      <c r="K1107">
        <v>8</v>
      </c>
      <c r="L1107" t="b">
        <v>1</v>
      </c>
      <c r="M1107">
        <v>110726</v>
      </c>
      <c r="N1107" s="2" t="s">
        <v>100</v>
      </c>
      <c r="O1107" t="b">
        <v>1</v>
      </c>
      <c r="P1107">
        <v>88248</v>
      </c>
      <c r="Q1107">
        <v>82.220517481419506</v>
      </c>
      <c r="R1107" s="2" t="s">
        <v>100</v>
      </c>
      <c r="S1107">
        <v>48.989898989898897</v>
      </c>
      <c r="T1107">
        <v>1.6</v>
      </c>
      <c r="U1107" s="2" t="s">
        <v>100</v>
      </c>
      <c r="V1107" t="b">
        <v>1</v>
      </c>
      <c r="W1107" t="b">
        <v>1</v>
      </c>
      <c r="X1107">
        <v>58.256880733944897</v>
      </c>
    </row>
    <row r="1108" spans="3:24" x14ac:dyDescent="0.35">
      <c r="C1108" s="2" t="s">
        <v>99</v>
      </c>
      <c r="D1108" s="3">
        <v>43100</v>
      </c>
      <c r="E1108">
        <v>76.711795023270398</v>
      </c>
      <c r="F1108">
        <v>47.322333188594499</v>
      </c>
      <c r="G1108">
        <v>48.830377869562803</v>
      </c>
      <c r="H1108">
        <v>57.593284498779099</v>
      </c>
      <c r="I1108">
        <v>33520</v>
      </c>
      <c r="J1108">
        <v>66.6666666666666</v>
      </c>
      <c r="K1108">
        <v>8</v>
      </c>
      <c r="L1108" t="b">
        <v>1</v>
      </c>
      <c r="M1108">
        <v>116261</v>
      </c>
      <c r="N1108" s="2" t="s">
        <v>100</v>
      </c>
      <c r="O1108" t="b">
        <v>1</v>
      </c>
      <c r="P1108">
        <v>85352</v>
      </c>
      <c r="Q1108">
        <v>85.960763534790999</v>
      </c>
      <c r="R1108" s="2" t="s">
        <v>100</v>
      </c>
      <c r="S1108">
        <v>49.404761904761898</v>
      </c>
      <c r="T1108">
        <v>1.8</v>
      </c>
      <c r="U1108" s="2" t="s">
        <v>100</v>
      </c>
      <c r="V1108" t="b">
        <v>1</v>
      </c>
      <c r="W1108" t="b">
        <v>1</v>
      </c>
      <c r="X1108">
        <v>61.224489795918302</v>
      </c>
    </row>
    <row r="1109" spans="3:24" x14ac:dyDescent="0.35">
      <c r="C1109" s="2" t="s">
        <v>99</v>
      </c>
      <c r="D1109" s="3">
        <v>42735</v>
      </c>
      <c r="E1109">
        <v>75.7729197253488</v>
      </c>
      <c r="F1109">
        <v>58.712819432036902</v>
      </c>
      <c r="G1109">
        <v>61.622647237401303</v>
      </c>
      <c r="H1109">
        <v>65.201084480313597</v>
      </c>
      <c r="I1109">
        <v>32600</v>
      </c>
      <c r="J1109">
        <v>54.545454545454497</v>
      </c>
      <c r="K1109">
        <v>8</v>
      </c>
      <c r="L1109" t="b">
        <v>0</v>
      </c>
      <c r="M1109">
        <v>100444</v>
      </c>
      <c r="N1109" s="2" t="s">
        <v>100</v>
      </c>
      <c r="O1109" t="b">
        <v>1</v>
      </c>
      <c r="P1109">
        <v>84400</v>
      </c>
      <c r="Q1109">
        <v>86.761782529177495</v>
      </c>
      <c r="R1109" s="2" t="s">
        <v>100</v>
      </c>
      <c r="S1109">
        <v>80.625</v>
      </c>
      <c r="T1109">
        <v>1.8</v>
      </c>
      <c r="U1109" s="2" t="s">
        <v>100</v>
      </c>
      <c r="V1109" t="b">
        <v>1</v>
      </c>
      <c r="W1109" t="b">
        <v>1</v>
      </c>
      <c r="X1109">
        <v>60.752688172043001</v>
      </c>
    </row>
    <row r="1110" spans="3:24" x14ac:dyDescent="0.35">
      <c r="C1110" s="2" t="s">
        <v>99</v>
      </c>
      <c r="D1110" s="3">
        <v>42369</v>
      </c>
      <c r="E1110">
        <v>72.448383450407704</v>
      </c>
      <c r="F1110">
        <v>53.117614002272397</v>
      </c>
      <c r="G1110">
        <v>62.534329026749297</v>
      </c>
      <c r="H1110">
        <v>62.052109340303303</v>
      </c>
      <c r="I1110">
        <v>31600</v>
      </c>
      <c r="J1110">
        <v>60</v>
      </c>
      <c r="K1110">
        <v>10</v>
      </c>
      <c r="L1110" t="b">
        <v>0</v>
      </c>
      <c r="M1110">
        <v>91161</v>
      </c>
      <c r="N1110" s="2" t="s">
        <v>100</v>
      </c>
      <c r="O1110" t="b">
        <v>1</v>
      </c>
      <c r="P1110">
        <v>81696</v>
      </c>
      <c r="Q1110">
        <v>87.208323109393802</v>
      </c>
      <c r="R1110" s="2" t="s">
        <v>100</v>
      </c>
      <c r="S1110">
        <v>42.982456140350799</v>
      </c>
      <c r="T1110">
        <v>1.8</v>
      </c>
      <c r="U1110" s="2" t="s">
        <v>100</v>
      </c>
      <c r="V1110" t="b">
        <v>1</v>
      </c>
      <c r="W1110" t="b">
        <v>1</v>
      </c>
      <c r="X1110">
        <v>0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507CB-31CB-414E-A70C-26854FCE0719}">
  <dimension ref="A1"/>
  <sheetViews>
    <sheetView workbookViewId="0"/>
  </sheetViews>
  <sheetFormatPr defaultRowHeight="14.5" x14ac:dyDescent="0.35"/>
  <sheetData/>
  <pageMargins left="0.7" right="0.7" top="0.75" bottom="0.75" header="0.3" footer="0.3"/>
  <customProperties>
    <customPr name="REFI_OFFICE_FUNCTION_CLICK_THROUGH_WORKSHEET_CURRENT_NAME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F16B2-4A2C-4A61-B2D9-3E5C60D6D912}">
  <dimension ref="A1:I1724"/>
  <sheetViews>
    <sheetView zoomScale="98" workbookViewId="0">
      <selection activeCell="C5" sqref="C5"/>
    </sheetView>
  </sheetViews>
  <sheetFormatPr defaultRowHeight="14.5" x14ac:dyDescent="0.35"/>
  <cols>
    <col min="3" max="3" width="21.81640625" customWidth="1"/>
    <col min="4" max="4" width="18.36328125" customWidth="1"/>
    <col min="5" max="5" width="13.26953125" customWidth="1"/>
    <col min="6" max="6" width="17.90625" customWidth="1"/>
    <col min="7" max="7" width="17.08984375" customWidth="1"/>
    <col min="8" max="8" width="15.81640625" customWidth="1"/>
    <col min="9" max="9" width="36.54296875" customWidth="1"/>
  </cols>
  <sheetData>
    <row r="1" spans="1:9" x14ac:dyDescent="0.35">
      <c r="A1" s="1" t="s">
        <v>0</v>
      </c>
      <c r="C1" t="str">
        <f>_xll.RDP.Data($A$1:$A$100,"TR.PriceClose;TR.CompanyMarketCap;TR.TotalReturn","CH=Fd RH=IN;date SDate=0 EDate=-9 Frq=FY")</f>
        <v>Not Signed In</v>
      </c>
      <c r="D1" s="2"/>
      <c r="E1" s="2" t="s">
        <v>121</v>
      </c>
      <c r="F1" s="2" t="s">
        <v>122</v>
      </c>
      <c r="G1" s="2" t="s">
        <v>123</v>
      </c>
      <c r="H1" s="2"/>
      <c r="I1" s="2"/>
    </row>
    <row r="2" spans="1:9" x14ac:dyDescent="0.35">
      <c r="A2" s="1" t="s">
        <v>1</v>
      </c>
      <c r="C2" s="2" t="s">
        <v>0</v>
      </c>
      <c r="D2" s="3">
        <v>46022</v>
      </c>
      <c r="E2">
        <v>3263</v>
      </c>
      <c r="F2">
        <v>32412500134.169998</v>
      </c>
      <c r="G2" s="2">
        <v>-6.42583301511167</v>
      </c>
      <c r="H2" s="2"/>
      <c r="I2" s="2"/>
    </row>
    <row r="3" spans="1:9" x14ac:dyDescent="0.35">
      <c r="A3" s="1" t="s">
        <v>2</v>
      </c>
      <c r="C3" s="2" t="s">
        <v>0</v>
      </c>
      <c r="D3" s="3">
        <v>45657</v>
      </c>
      <c r="E3">
        <v>3564</v>
      </c>
      <c r="F3">
        <v>34691591230.559998</v>
      </c>
      <c r="G3" s="2">
        <v>50.054547980275203</v>
      </c>
      <c r="H3" s="2"/>
      <c r="I3" s="2"/>
    </row>
    <row r="4" spans="1:9" x14ac:dyDescent="0.35">
      <c r="A4" s="1" t="s">
        <v>3</v>
      </c>
      <c r="C4" s="2" t="s">
        <v>0</v>
      </c>
      <c r="D4" s="3">
        <v>45289</v>
      </c>
      <c r="E4">
        <v>2421</v>
      </c>
      <c r="F4">
        <v>23564808027.27</v>
      </c>
      <c r="G4" s="2">
        <v>85.461124483616302</v>
      </c>
      <c r="H4" s="2"/>
      <c r="I4" s="2"/>
    </row>
    <row r="5" spans="1:9" x14ac:dyDescent="0.35">
      <c r="A5" s="1" t="s">
        <v>4</v>
      </c>
      <c r="C5" s="2" t="s">
        <v>0</v>
      </c>
      <c r="D5" s="3">
        <v>44925</v>
      </c>
      <c r="E5">
        <v>1341.5</v>
      </c>
      <c r="F5">
        <v>13056670687.405001</v>
      </c>
      <c r="G5" s="2">
        <v>-3.36054456566767</v>
      </c>
      <c r="H5" s="2"/>
      <c r="I5" s="2"/>
    </row>
    <row r="6" spans="1:9" x14ac:dyDescent="0.35">
      <c r="A6" s="1" t="s">
        <v>5</v>
      </c>
      <c r="C6" s="2" t="s">
        <v>0</v>
      </c>
      <c r="D6" s="3">
        <v>44561</v>
      </c>
      <c r="E6">
        <v>1449</v>
      </c>
      <c r="F6">
        <v>14101821999.719999</v>
      </c>
      <c r="G6" s="2">
        <v>29.034444724894801</v>
      </c>
      <c r="H6" s="2"/>
      <c r="I6" s="2"/>
    </row>
    <row r="7" spans="1:9" x14ac:dyDescent="0.35">
      <c r="A7" s="1" t="s">
        <v>6</v>
      </c>
      <c r="C7" s="2" t="s">
        <v>0</v>
      </c>
      <c r="D7" s="3">
        <v>44196</v>
      </c>
      <c r="E7">
        <v>1158</v>
      </c>
      <c r="F7">
        <v>11268918296.1</v>
      </c>
      <c r="G7" s="2">
        <v>9.3856164476857806</v>
      </c>
      <c r="H7" s="2"/>
      <c r="I7" s="2"/>
    </row>
    <row r="8" spans="1:9" x14ac:dyDescent="0.35">
      <c r="A8" s="1" t="s">
        <v>7</v>
      </c>
      <c r="C8" s="2" t="s">
        <v>0</v>
      </c>
      <c r="D8" s="3">
        <v>43830</v>
      </c>
      <c r="E8">
        <v>1098</v>
      </c>
      <c r="F8">
        <v>10684067775.66</v>
      </c>
      <c r="G8" s="2">
        <v>47.159078192253297</v>
      </c>
      <c r="H8" s="2"/>
      <c r="I8" s="2"/>
    </row>
    <row r="9" spans="1:9" x14ac:dyDescent="0.35">
      <c r="A9" s="1" t="s">
        <v>8</v>
      </c>
      <c r="C9" s="2" t="s">
        <v>0</v>
      </c>
      <c r="D9" s="3">
        <v>43465</v>
      </c>
      <c r="E9">
        <v>773.4</v>
      </c>
      <c r="F9">
        <v>7524929840.6639996</v>
      </c>
      <c r="G9" s="2">
        <v>-11.776905947881099</v>
      </c>
      <c r="H9" s="2"/>
      <c r="I9" s="2"/>
    </row>
    <row r="10" spans="1:9" x14ac:dyDescent="0.35">
      <c r="A10" s="1" t="s">
        <v>9</v>
      </c>
      <c r="C10" s="2" t="s">
        <v>0</v>
      </c>
      <c r="D10" s="3">
        <v>43098</v>
      </c>
      <c r="E10">
        <v>913.5</v>
      </c>
      <c r="F10">
        <v>8887227868.8899708</v>
      </c>
      <c r="G10" s="2">
        <v>33.674390223412999</v>
      </c>
      <c r="H10" s="2"/>
      <c r="I10" s="2"/>
    </row>
    <row r="11" spans="1:9" x14ac:dyDescent="0.35">
      <c r="A11" s="1" t="s">
        <v>10</v>
      </c>
      <c r="C11" s="2" t="s">
        <v>0</v>
      </c>
      <c r="D11" s="3">
        <v>42734</v>
      </c>
      <c r="E11">
        <v>704</v>
      </c>
      <c r="F11">
        <v>6848331064.9599895</v>
      </c>
      <c r="G11" s="2">
        <v>52.500033824523499</v>
      </c>
      <c r="H11" s="2"/>
      <c r="I11" s="2"/>
    </row>
    <row r="12" spans="1:9" x14ac:dyDescent="0.35">
      <c r="A12" s="1" t="s">
        <v>11</v>
      </c>
      <c r="C12" s="2" t="s">
        <v>1</v>
      </c>
      <c r="D12" s="3">
        <v>46022</v>
      </c>
      <c r="E12" s="2">
        <v>622</v>
      </c>
      <c r="F12" s="2">
        <v>4634001062.5600004</v>
      </c>
      <c r="G12" s="2">
        <v>13.877747707352199</v>
      </c>
      <c r="H12" s="2"/>
      <c r="I12" s="2"/>
    </row>
    <row r="13" spans="1:9" x14ac:dyDescent="0.35">
      <c r="A13" s="1" t="s">
        <v>12</v>
      </c>
      <c r="C13" s="2" t="s">
        <v>1</v>
      </c>
      <c r="D13" s="3">
        <v>45657</v>
      </c>
      <c r="E13" s="2">
        <v>584</v>
      </c>
      <c r="F13" s="2">
        <v>4350437359.3599997</v>
      </c>
      <c r="G13" s="2">
        <v>-11.6780724796202</v>
      </c>
      <c r="H13" s="2"/>
      <c r="I13" s="2"/>
    </row>
    <row r="14" spans="1:9" x14ac:dyDescent="0.35">
      <c r="A14" s="1" t="s">
        <v>13</v>
      </c>
      <c r="C14" s="2" t="s">
        <v>1</v>
      </c>
      <c r="D14" s="3">
        <v>45289</v>
      </c>
      <c r="E14" s="2">
        <v>704.8</v>
      </c>
      <c r="F14" s="2">
        <v>5249777586.3280001</v>
      </c>
      <c r="G14" s="2">
        <v>20.8169632880244</v>
      </c>
      <c r="H14" s="2"/>
      <c r="I14" s="2"/>
    </row>
    <row r="15" spans="1:9" x14ac:dyDescent="0.35">
      <c r="A15" s="1" t="s">
        <v>14</v>
      </c>
      <c r="C15" s="2" t="s">
        <v>1</v>
      </c>
      <c r="D15" s="3">
        <v>44925</v>
      </c>
      <c r="E15" s="2">
        <v>621.4</v>
      </c>
      <c r="F15" s="2">
        <v>4607908736.8859901</v>
      </c>
      <c r="G15" s="2">
        <v>-15.3123250288769</v>
      </c>
      <c r="H15" s="2"/>
      <c r="I15" s="2"/>
    </row>
    <row r="16" spans="1:9" x14ac:dyDescent="0.35">
      <c r="A16" s="1" t="s">
        <v>15</v>
      </c>
      <c r="C16" s="2" t="s">
        <v>1</v>
      </c>
      <c r="D16" s="3">
        <v>44561</v>
      </c>
      <c r="E16" s="2">
        <v>776.4</v>
      </c>
      <c r="F16" s="2">
        <v>5756829928.0080004</v>
      </c>
      <c r="G16" s="2">
        <v>20.2267200664228</v>
      </c>
      <c r="H16" s="2"/>
      <c r="I16" s="2"/>
    </row>
    <row r="17" spans="1:9" x14ac:dyDescent="0.35">
      <c r="A17" s="1" t="s">
        <v>16</v>
      </c>
      <c r="C17" s="2" t="s">
        <v>1</v>
      </c>
      <c r="D17" s="3">
        <v>44196</v>
      </c>
      <c r="E17" s="2">
        <v>673.8</v>
      </c>
      <c r="F17" s="2">
        <v>4996051030.3920002</v>
      </c>
      <c r="G17" s="2">
        <v>-30.733892429779601</v>
      </c>
      <c r="H17" s="2"/>
      <c r="I17" s="2"/>
    </row>
    <row r="18" spans="1:9" x14ac:dyDescent="0.35">
      <c r="A18" s="1" t="s">
        <v>17</v>
      </c>
      <c r="C18" s="2" t="s">
        <v>1</v>
      </c>
      <c r="D18" s="3">
        <v>43830</v>
      </c>
      <c r="E18" s="2">
        <v>990</v>
      </c>
      <c r="F18" s="2">
        <v>7340491471.5</v>
      </c>
      <c r="G18" s="2">
        <v>29.8280126694799</v>
      </c>
      <c r="H18" s="2"/>
      <c r="I18" s="2"/>
    </row>
    <row r="19" spans="1:9" x14ac:dyDescent="0.35">
      <c r="A19" s="1" t="s">
        <v>18</v>
      </c>
      <c r="C19" s="2" t="s">
        <v>1</v>
      </c>
      <c r="D19" s="3">
        <v>43465</v>
      </c>
      <c r="E19" s="2">
        <v>804.4</v>
      </c>
      <c r="F19" s="2">
        <v>5964318831.816</v>
      </c>
      <c r="G19" s="2">
        <v>-15.927729510978001</v>
      </c>
      <c r="H19" s="2"/>
      <c r="I19" s="2"/>
    </row>
    <row r="20" spans="1:9" x14ac:dyDescent="0.35">
      <c r="A20" s="1" t="s">
        <v>19</v>
      </c>
      <c r="C20" s="2" t="s">
        <v>1</v>
      </c>
      <c r="D20" s="3">
        <v>43098</v>
      </c>
      <c r="E20" s="2">
        <v>1008</v>
      </c>
      <c r="F20" s="2">
        <v>7473816332.6400003</v>
      </c>
      <c r="G20" s="2">
        <v>-1.62565950585369</v>
      </c>
      <c r="H20" s="2"/>
      <c r="I20" s="2"/>
    </row>
    <row r="21" spans="1:9" x14ac:dyDescent="0.35">
      <c r="A21" s="1" t="s">
        <v>20</v>
      </c>
      <c r="C21" s="2" t="s">
        <v>1</v>
      </c>
      <c r="D21" s="3">
        <v>42734</v>
      </c>
      <c r="E21" s="2">
        <v>1066.6962181424999</v>
      </c>
      <c r="F21" s="2">
        <v>8429161961.7399702</v>
      </c>
      <c r="G21" s="2">
        <v>-6.2522366119184696</v>
      </c>
      <c r="H21" s="2"/>
      <c r="I21" s="2"/>
    </row>
    <row r="22" spans="1:9" x14ac:dyDescent="0.35">
      <c r="A22" s="1" t="s">
        <v>21</v>
      </c>
      <c r="C22" s="2" t="s">
        <v>2</v>
      </c>
      <c r="D22" s="3">
        <v>46022</v>
      </c>
      <c r="E22" s="2">
        <v>447.5</v>
      </c>
      <c r="F22" s="2">
        <v>11304028485.375</v>
      </c>
      <c r="G22" s="2">
        <v>14.5281776574652</v>
      </c>
      <c r="H22" s="2"/>
      <c r="I22" s="2"/>
    </row>
    <row r="23" spans="1:9" x14ac:dyDescent="0.35">
      <c r="A23" s="1" t="s">
        <v>22</v>
      </c>
      <c r="C23" s="2" t="s">
        <v>2</v>
      </c>
      <c r="D23" s="3">
        <v>45657</v>
      </c>
      <c r="E23" s="2">
        <v>400.8</v>
      </c>
      <c r="F23" s="2">
        <v>10118355859.079901</v>
      </c>
      <c r="G23" s="2">
        <v>-7.27645562760625</v>
      </c>
      <c r="H23" s="2"/>
      <c r="I23" s="2"/>
    </row>
    <row r="24" spans="1:9" x14ac:dyDescent="0.35">
      <c r="A24" s="1" t="s">
        <v>23</v>
      </c>
      <c r="C24" s="2" t="s">
        <v>2</v>
      </c>
      <c r="D24" s="3">
        <v>45289</v>
      </c>
      <c r="E24">
        <v>440.8</v>
      </c>
      <c r="F24">
        <v>11119355813.08</v>
      </c>
      <c r="G24" s="2">
        <v>-12.075944999713601</v>
      </c>
      <c r="H24" s="2"/>
      <c r="I24" s="2"/>
    </row>
    <row r="25" spans="1:9" x14ac:dyDescent="0.35">
      <c r="A25" s="1" t="s">
        <v>24</v>
      </c>
      <c r="C25" s="2" t="s">
        <v>2</v>
      </c>
      <c r="D25" s="3">
        <v>44925</v>
      </c>
      <c r="E25">
        <v>508</v>
      </c>
      <c r="F25">
        <v>12801802615.799999</v>
      </c>
      <c r="G25" s="2">
        <v>-11.9231386181507</v>
      </c>
      <c r="H25" s="2"/>
      <c r="I25" s="2"/>
    </row>
    <row r="26" spans="1:9" x14ac:dyDescent="0.35">
      <c r="A26" s="1" t="s">
        <v>25</v>
      </c>
      <c r="C26" s="2" t="s">
        <v>2</v>
      </c>
      <c r="D26" s="3">
        <v>44561</v>
      </c>
      <c r="E26">
        <v>584</v>
      </c>
      <c r="F26">
        <v>10858504515.6</v>
      </c>
      <c r="G26" s="2">
        <v>16.242067712591702</v>
      </c>
      <c r="H26" s="2"/>
      <c r="I26" s="2"/>
    </row>
    <row r="27" spans="1:9" x14ac:dyDescent="0.35">
      <c r="A27" s="1" t="s">
        <v>26</v>
      </c>
      <c r="C27" s="2" t="s">
        <v>2</v>
      </c>
      <c r="D27" s="3">
        <v>44196</v>
      </c>
      <c r="E27">
        <v>509.6</v>
      </c>
      <c r="F27">
        <v>9449680789.6399994</v>
      </c>
      <c r="G27" s="2">
        <v>12.494481235682899</v>
      </c>
      <c r="H27" s="2"/>
      <c r="I27" s="2"/>
    </row>
    <row r="28" spans="1:9" x14ac:dyDescent="0.35">
      <c r="A28" s="1" t="s">
        <v>27</v>
      </c>
      <c r="C28" s="2" t="s">
        <v>2</v>
      </c>
      <c r="D28" s="3">
        <v>43830</v>
      </c>
      <c r="E28">
        <v>453</v>
      </c>
      <c r="F28">
        <v>8377478331.4499903</v>
      </c>
      <c r="G28" s="2">
        <v>35.960426108359997</v>
      </c>
      <c r="H28" s="2"/>
      <c r="I28" s="2"/>
    </row>
    <row r="29" spans="1:9" x14ac:dyDescent="0.35">
      <c r="A29" s="1" t="s">
        <v>28</v>
      </c>
      <c r="C29" s="2" t="s">
        <v>2</v>
      </c>
      <c r="D29" s="3">
        <v>43465</v>
      </c>
      <c r="E29">
        <v>337.2</v>
      </c>
      <c r="F29">
        <v>6215718757.97999</v>
      </c>
      <c r="G29" s="2">
        <v>7.5207273693471004</v>
      </c>
      <c r="H29" s="2"/>
      <c r="I29" s="2"/>
    </row>
    <row r="30" spans="1:9" x14ac:dyDescent="0.35">
      <c r="A30" s="1" t="s">
        <v>29</v>
      </c>
      <c r="C30" s="2" t="s">
        <v>2</v>
      </c>
      <c r="D30" s="3">
        <v>43098</v>
      </c>
      <c r="E30">
        <v>318</v>
      </c>
      <c r="F30">
        <v>5842718828.6999998</v>
      </c>
      <c r="G30" s="2">
        <v>45.052282892362598</v>
      </c>
      <c r="H30" s="2"/>
      <c r="I30" s="2"/>
    </row>
    <row r="31" spans="1:9" x14ac:dyDescent="0.35">
      <c r="A31" s="1" t="s">
        <v>30</v>
      </c>
      <c r="C31" s="2" t="s">
        <v>2</v>
      </c>
      <c r="D31" s="3">
        <v>42734</v>
      </c>
      <c r="E31">
        <v>222.2</v>
      </c>
      <c r="F31">
        <v>4064777848.23</v>
      </c>
      <c r="G31" s="2">
        <v>41.736388343386302</v>
      </c>
      <c r="H31" s="2"/>
      <c r="I31" s="2"/>
    </row>
    <row r="32" spans="1:9" x14ac:dyDescent="0.35">
      <c r="A32" s="1" t="s">
        <v>31</v>
      </c>
      <c r="C32" s="2" t="s">
        <v>3</v>
      </c>
      <c r="D32" s="3">
        <v>46022</v>
      </c>
      <c r="E32">
        <v>4846</v>
      </c>
      <c r="F32">
        <v>8547495513.8599997</v>
      </c>
      <c r="G32" s="2">
        <v>26.056492990208302</v>
      </c>
      <c r="H32" s="2"/>
      <c r="I32" s="2"/>
    </row>
    <row r="33" spans="1:9" x14ac:dyDescent="0.35">
      <c r="A33" s="1" t="s">
        <v>32</v>
      </c>
      <c r="C33" s="2" t="s">
        <v>3</v>
      </c>
      <c r="D33" s="3">
        <v>45657</v>
      </c>
      <c r="E33" s="2">
        <v>3890</v>
      </c>
      <c r="F33" s="2">
        <v>8034634847.6037502</v>
      </c>
      <c r="G33" s="2">
        <v>9.8603203052617392</v>
      </c>
      <c r="H33" s="2"/>
      <c r="I33" s="2"/>
    </row>
    <row r="34" spans="1:9" x14ac:dyDescent="0.35">
      <c r="A34" s="1" t="s">
        <v>33</v>
      </c>
      <c r="C34" s="2" t="s">
        <v>3</v>
      </c>
      <c r="D34" s="3">
        <v>45289</v>
      </c>
      <c r="E34" s="2">
        <v>3584</v>
      </c>
      <c r="F34" s="2">
        <v>7689859581.8520002</v>
      </c>
      <c r="G34" s="2">
        <v>24.719894214377099</v>
      </c>
      <c r="H34" s="2"/>
    </row>
    <row r="35" spans="1:9" x14ac:dyDescent="0.35">
      <c r="A35" s="1" t="s">
        <v>34</v>
      </c>
      <c r="C35" s="2" t="s">
        <v>3</v>
      </c>
      <c r="D35" s="3">
        <v>44925</v>
      </c>
      <c r="E35" s="2">
        <v>2915</v>
      </c>
      <c r="F35" s="2">
        <v>6079591519.5777302</v>
      </c>
      <c r="G35" s="2">
        <v>-1.9282143778669101</v>
      </c>
      <c r="H35" s="2"/>
      <c r="I35" s="2"/>
    </row>
    <row r="36" spans="1:9" x14ac:dyDescent="0.35">
      <c r="A36" s="1" t="s">
        <v>35</v>
      </c>
      <c r="C36" s="2" t="s">
        <v>3</v>
      </c>
      <c r="D36" s="3">
        <v>44561</v>
      </c>
      <c r="E36" s="2">
        <v>3015</v>
      </c>
      <c r="F36" s="2">
        <v>6457301055.5068102</v>
      </c>
      <c r="G36" s="2">
        <v>18.813048355957498</v>
      </c>
      <c r="H36" s="2"/>
      <c r="I36" s="2"/>
    </row>
    <row r="37" spans="1:9" x14ac:dyDescent="0.35">
      <c r="A37" s="1" t="s">
        <v>36</v>
      </c>
      <c r="C37" s="2" t="s">
        <v>3</v>
      </c>
      <c r="D37" s="3">
        <v>44196</v>
      </c>
      <c r="E37" s="2">
        <v>2565</v>
      </c>
      <c r="F37" s="2">
        <v>5441038740.1261501</v>
      </c>
      <c r="G37" s="2">
        <v>76.997227972332595</v>
      </c>
      <c r="H37" s="2"/>
      <c r="I37" s="2"/>
    </row>
    <row r="38" spans="1:9" x14ac:dyDescent="0.35">
      <c r="A38" s="1" t="s">
        <v>37</v>
      </c>
      <c r="C38" s="2" t="s">
        <v>3</v>
      </c>
      <c r="D38" s="3">
        <v>43830</v>
      </c>
      <c r="E38" s="2">
        <v>1454</v>
      </c>
      <c r="F38" s="2">
        <v>3071557603.8357801</v>
      </c>
      <c r="G38" s="2">
        <v>43.960396039708399</v>
      </c>
      <c r="H38" s="2"/>
      <c r="I38" s="2"/>
    </row>
    <row r="39" spans="1:9" x14ac:dyDescent="0.35">
      <c r="A39" s="1" t="s">
        <v>38</v>
      </c>
      <c r="C39" s="2" t="s">
        <v>3</v>
      </c>
      <c r="D39" s="3">
        <v>43465</v>
      </c>
      <c r="E39" s="2">
        <v>1010</v>
      </c>
      <c r="F39" s="2">
        <v>2197225247.51547</v>
      </c>
      <c r="G39" s="2">
        <v>-0.49261083765536101</v>
      </c>
      <c r="H39" s="2"/>
      <c r="I39" s="2"/>
    </row>
    <row r="40" spans="1:9" x14ac:dyDescent="0.35">
      <c r="A40" s="1" t="s">
        <v>39</v>
      </c>
      <c r="C40" s="2" t="s">
        <v>3</v>
      </c>
      <c r="D40" s="3">
        <v>43098</v>
      </c>
      <c r="E40" s="2">
        <v>1015</v>
      </c>
      <c r="F40" s="2">
        <v>2429354950.20471</v>
      </c>
      <c r="G40" s="2">
        <v>-9.1379604577407108</v>
      </c>
      <c r="H40" s="2"/>
      <c r="I40" s="2"/>
    </row>
    <row r="41" spans="1:9" x14ac:dyDescent="0.35">
      <c r="A41" s="1" t="s">
        <v>40</v>
      </c>
      <c r="C41" s="2" t="s">
        <v>3</v>
      </c>
      <c r="D41" s="3">
        <v>42734</v>
      </c>
      <c r="E41" s="2">
        <v>1117.0781605989</v>
      </c>
      <c r="F41" s="2">
        <v>2830324477.8580499</v>
      </c>
      <c r="G41" s="2">
        <v>-28.807783484560002</v>
      </c>
      <c r="H41" s="2"/>
      <c r="I41" s="2"/>
    </row>
    <row r="42" spans="1:9" x14ac:dyDescent="0.35">
      <c r="A42" s="1" t="s">
        <v>41</v>
      </c>
      <c r="C42" s="2" t="s">
        <v>4</v>
      </c>
      <c r="D42" s="3">
        <v>46022</v>
      </c>
      <c r="E42" s="2">
        <v>1423</v>
      </c>
      <c r="F42" s="2">
        <v>4622644913.4099998</v>
      </c>
      <c r="G42" s="2">
        <v>35.079397106619197</v>
      </c>
      <c r="H42" s="2"/>
      <c r="I42" s="2"/>
    </row>
    <row r="43" spans="1:9" x14ac:dyDescent="0.35">
      <c r="A43" s="1" t="s">
        <v>42</v>
      </c>
      <c r="C43" s="2" t="s">
        <v>4</v>
      </c>
      <c r="D43" s="3">
        <v>45657</v>
      </c>
      <c r="E43" s="2">
        <v>1083</v>
      </c>
      <c r="F43" s="2">
        <v>3681980021.04</v>
      </c>
      <c r="G43" s="2">
        <v>5.3378734102908796</v>
      </c>
      <c r="H43" s="2"/>
      <c r="I43" s="2"/>
    </row>
    <row r="44" spans="1:9" x14ac:dyDescent="0.35">
      <c r="A44" s="1" t="s">
        <v>43</v>
      </c>
      <c r="C44" s="2" t="s">
        <v>4</v>
      </c>
      <c r="D44" s="3">
        <v>45289</v>
      </c>
      <c r="E44">
        <v>1054</v>
      </c>
      <c r="F44">
        <v>3659145576.48</v>
      </c>
      <c r="G44" s="2">
        <v>-3.2583754019983999</v>
      </c>
      <c r="H44" s="2"/>
      <c r="I44" s="2"/>
    </row>
    <row r="45" spans="1:9" x14ac:dyDescent="0.35">
      <c r="A45" s="1" t="s">
        <v>44</v>
      </c>
      <c r="C45" s="2" t="s">
        <v>4</v>
      </c>
      <c r="D45" s="3">
        <v>44925</v>
      </c>
      <c r="E45" s="2">
        <v>1089.5</v>
      </c>
      <c r="F45" s="2">
        <v>3775589416.9250002</v>
      </c>
      <c r="G45" s="2">
        <v>26.5683085494728</v>
      </c>
      <c r="H45" s="2"/>
    </row>
    <row r="46" spans="1:9" x14ac:dyDescent="0.35">
      <c r="A46" s="1" t="s">
        <v>45</v>
      </c>
      <c r="C46" s="2" t="s">
        <v>4</v>
      </c>
      <c r="D46" s="3">
        <v>44561</v>
      </c>
      <c r="E46">
        <v>860.8</v>
      </c>
      <c r="F46">
        <v>2982353374.8800001</v>
      </c>
      <c r="G46" s="2">
        <v>-13.4004024143374</v>
      </c>
      <c r="H46" s="2"/>
      <c r="I46" s="2"/>
    </row>
    <row r="47" spans="1:9" x14ac:dyDescent="0.35">
      <c r="A47" s="1" t="s">
        <v>46</v>
      </c>
      <c r="C47" s="2" t="s">
        <v>4</v>
      </c>
      <c r="D47" s="3">
        <v>44196</v>
      </c>
      <c r="E47">
        <v>994</v>
      </c>
      <c r="F47">
        <v>3443529050.3600001</v>
      </c>
      <c r="G47" s="2">
        <v>-30.196629213705599</v>
      </c>
      <c r="H47" s="2"/>
      <c r="I47" s="2"/>
    </row>
    <row r="48" spans="1:9" x14ac:dyDescent="0.35">
      <c r="A48" s="1" t="s">
        <v>47</v>
      </c>
      <c r="C48" s="2" t="s">
        <v>4</v>
      </c>
      <c r="D48" s="3">
        <v>43830</v>
      </c>
      <c r="E48">
        <v>1424</v>
      </c>
      <c r="F48">
        <v>4109443180.3200002</v>
      </c>
      <c r="G48" s="2">
        <v>-12.1529919798809</v>
      </c>
      <c r="H48" s="2"/>
      <c r="I48" s="2"/>
    </row>
    <row r="49" spans="1:9" x14ac:dyDescent="0.35">
      <c r="A49" s="1" t="s">
        <v>48</v>
      </c>
      <c r="C49" s="2" t="s">
        <v>4</v>
      </c>
      <c r="D49" s="3">
        <v>43465</v>
      </c>
      <c r="E49">
        <v>1621</v>
      </c>
      <c r="F49">
        <v>4665111480.9499998</v>
      </c>
      <c r="G49" s="2">
        <v>10.7240437162595</v>
      </c>
      <c r="H49" s="2"/>
      <c r="I49" s="2"/>
    </row>
    <row r="50" spans="1:9" x14ac:dyDescent="0.35">
      <c r="A50" s="1" t="s">
        <v>49</v>
      </c>
      <c r="C50" s="2" t="s">
        <v>4</v>
      </c>
      <c r="D50" s="3">
        <v>43098</v>
      </c>
      <c r="E50">
        <v>1464</v>
      </c>
      <c r="F50">
        <v>4201112904.95999</v>
      </c>
      <c r="G50" s="2">
        <v>43.952802359983401</v>
      </c>
      <c r="H50" s="2"/>
      <c r="I50" s="2"/>
    </row>
    <row r="51" spans="1:9" x14ac:dyDescent="0.35">
      <c r="A51" s="1" t="s">
        <v>50</v>
      </c>
      <c r="C51" s="2" t="s">
        <v>4</v>
      </c>
      <c r="D51" s="3">
        <v>42734</v>
      </c>
      <c r="E51">
        <v>1017</v>
      </c>
      <c r="F51">
        <v>2904506072.2799902</v>
      </c>
      <c r="G51" s="2">
        <v>-1.9014235822358101</v>
      </c>
      <c r="H51" s="2"/>
      <c r="I51" s="2"/>
    </row>
    <row r="52" spans="1:9" x14ac:dyDescent="0.35">
      <c r="A52" s="1" t="s">
        <v>51</v>
      </c>
      <c r="C52" s="2" t="s">
        <v>5</v>
      </c>
      <c r="D52" s="3">
        <v>46022</v>
      </c>
      <c r="E52">
        <v>44.2</v>
      </c>
      <c r="F52">
        <v>6321615716</v>
      </c>
      <c r="G52" s="2">
        <v>-9.2029580934667798</v>
      </c>
      <c r="H52" s="2"/>
      <c r="I52" s="2"/>
    </row>
    <row r="53" spans="1:9" x14ac:dyDescent="0.35">
      <c r="A53" s="1" t="s">
        <v>52</v>
      </c>
      <c r="C53" s="2" t="s">
        <v>5</v>
      </c>
      <c r="D53" s="4"/>
      <c r="E53" s="2" t="s">
        <v>100</v>
      </c>
      <c r="F53" s="2" t="s">
        <v>100</v>
      </c>
      <c r="G53" s="2" t="s">
        <v>100</v>
      </c>
      <c r="H53" s="2"/>
      <c r="I53" s="2"/>
    </row>
    <row r="54" spans="1:9" x14ac:dyDescent="0.35">
      <c r="A54" s="1" t="s">
        <v>53</v>
      </c>
      <c r="C54" s="2" t="s">
        <v>6</v>
      </c>
      <c r="D54" s="4">
        <v>46022</v>
      </c>
      <c r="E54" s="2">
        <v>884</v>
      </c>
      <c r="F54" s="2">
        <v>11381231891.639999</v>
      </c>
      <c r="G54" s="2">
        <v>13.5534932427218</v>
      </c>
      <c r="H54" s="2"/>
      <c r="I54" s="2"/>
    </row>
    <row r="55" spans="1:9" x14ac:dyDescent="0.35">
      <c r="A55" s="1" t="s">
        <v>54</v>
      </c>
      <c r="C55" s="2" t="s">
        <v>6</v>
      </c>
      <c r="D55" s="4">
        <v>45657</v>
      </c>
      <c r="E55" s="2">
        <v>798.4</v>
      </c>
      <c r="F55" s="2">
        <v>10620673948.271999</v>
      </c>
      <c r="G55" s="2">
        <v>4.51026365092146</v>
      </c>
      <c r="H55" s="2"/>
      <c r="I55" s="2"/>
    </row>
    <row r="56" spans="1:9" x14ac:dyDescent="0.35">
      <c r="A56" s="1" t="s">
        <v>55</v>
      </c>
      <c r="C56" s="2" t="s">
        <v>6</v>
      </c>
      <c r="D56" s="4">
        <v>45289</v>
      </c>
      <c r="E56" s="2">
        <v>781.2</v>
      </c>
      <c r="F56" s="2">
        <v>10687048008.5879</v>
      </c>
      <c r="G56" s="2">
        <v>28.2937380946275</v>
      </c>
      <c r="H56" s="2"/>
    </row>
    <row r="57" spans="1:9" x14ac:dyDescent="0.35">
      <c r="A57" s="1" t="s">
        <v>56</v>
      </c>
      <c r="C57" s="2" t="s">
        <v>6</v>
      </c>
      <c r="D57" s="4">
        <v>44925</v>
      </c>
      <c r="E57" s="2">
        <v>619.6</v>
      </c>
      <c r="F57" s="2">
        <v>8789185522.21595</v>
      </c>
      <c r="G57" s="2">
        <v>20.549777314882899</v>
      </c>
      <c r="H57" s="2"/>
      <c r="I57" s="2"/>
    </row>
    <row r="58" spans="1:9" x14ac:dyDescent="0.35">
      <c r="A58" s="1" t="s">
        <v>57</v>
      </c>
      <c r="C58" s="2" t="s">
        <v>6</v>
      </c>
      <c r="D58" s="4">
        <v>44561</v>
      </c>
      <c r="E58" s="2">
        <v>516.6</v>
      </c>
      <c r="F58" s="2">
        <v>7765080745.4639702</v>
      </c>
      <c r="G58" s="2">
        <v>-5.9016393446175703</v>
      </c>
      <c r="H58" s="2"/>
      <c r="I58" s="2"/>
    </row>
    <row r="59" spans="1:9" x14ac:dyDescent="0.35">
      <c r="A59" s="1" t="s">
        <v>58</v>
      </c>
      <c r="C59" s="2" t="s">
        <v>6</v>
      </c>
      <c r="D59" s="4">
        <v>44196</v>
      </c>
      <c r="E59" s="2">
        <v>549</v>
      </c>
      <c r="F59" s="2">
        <v>8246736543.96</v>
      </c>
      <c r="G59" s="2">
        <v>-35.939323220377702</v>
      </c>
      <c r="H59" s="2"/>
    </row>
    <row r="60" spans="1:9" x14ac:dyDescent="0.35">
      <c r="A60" s="1" t="s">
        <v>59</v>
      </c>
      <c r="C60" s="2" t="s">
        <v>6</v>
      </c>
      <c r="D60" s="4">
        <v>43830</v>
      </c>
      <c r="E60" s="2">
        <v>857</v>
      </c>
      <c r="F60" s="2">
        <v>10727913436.379999</v>
      </c>
      <c r="G60" s="2">
        <v>39.811168424989603</v>
      </c>
      <c r="H60" s="2"/>
      <c r="I60" s="2"/>
    </row>
    <row r="61" spans="1:9" x14ac:dyDescent="0.35">
      <c r="A61" s="1" t="s">
        <v>60</v>
      </c>
      <c r="C61" s="2" t="s">
        <v>6</v>
      </c>
      <c r="D61" s="4">
        <v>43465</v>
      </c>
      <c r="E61" s="2">
        <v>630.20000000000005</v>
      </c>
      <c r="F61" s="2">
        <v>7888834361.26793</v>
      </c>
      <c r="G61" s="2">
        <v>-10.2785370636047</v>
      </c>
      <c r="H61" s="2"/>
      <c r="I61" s="2"/>
    </row>
    <row r="62" spans="1:9" x14ac:dyDescent="0.35">
      <c r="A62" s="1" t="s">
        <v>61</v>
      </c>
      <c r="C62" s="2" t="s">
        <v>6</v>
      </c>
      <c r="D62" s="3">
        <v>43098</v>
      </c>
      <c r="E62">
        <v>722</v>
      </c>
      <c r="F62">
        <v>5949316468.2200003</v>
      </c>
      <c r="G62" s="2">
        <v>9.3571207916833803</v>
      </c>
      <c r="H62" s="2"/>
      <c r="I62" s="2"/>
    </row>
    <row r="63" spans="1:9" x14ac:dyDescent="0.35">
      <c r="A63" s="1" t="s">
        <v>62</v>
      </c>
      <c r="C63" s="2" t="s">
        <v>6</v>
      </c>
      <c r="D63" s="3">
        <v>42734</v>
      </c>
      <c r="E63">
        <v>680</v>
      </c>
      <c r="F63">
        <v>5603234346.8000002</v>
      </c>
      <c r="G63" s="2">
        <v>24.1540045133668</v>
      </c>
      <c r="H63" s="2"/>
      <c r="I63" s="2"/>
    </row>
    <row r="64" spans="1:9" x14ac:dyDescent="0.35">
      <c r="A64" s="1" t="s">
        <v>63</v>
      </c>
      <c r="C64" s="2" t="s">
        <v>7</v>
      </c>
      <c r="D64" s="3">
        <v>46022</v>
      </c>
      <c r="E64">
        <v>1194</v>
      </c>
      <c r="F64">
        <v>8137581507.7579803</v>
      </c>
      <c r="G64" s="2">
        <v>18.750085549519198</v>
      </c>
      <c r="H64" s="2"/>
      <c r="I64" s="2"/>
    </row>
    <row r="65" spans="1:9" x14ac:dyDescent="0.35">
      <c r="A65" s="1" t="s">
        <v>64</v>
      </c>
      <c r="C65" s="2" t="s">
        <v>7</v>
      </c>
      <c r="D65" s="3">
        <v>45657</v>
      </c>
      <c r="E65">
        <v>1051.5</v>
      </c>
      <c r="F65">
        <v>7170056715.26999</v>
      </c>
      <c r="G65" s="2">
        <v>4.1298073081151401</v>
      </c>
      <c r="H65" s="2"/>
      <c r="I65" s="2"/>
    </row>
    <row r="66" spans="1:9" x14ac:dyDescent="0.35">
      <c r="A66" s="1" t="s">
        <v>65</v>
      </c>
      <c r="C66" s="2" t="s">
        <v>7</v>
      </c>
      <c r="D66" s="3">
        <v>45289</v>
      </c>
      <c r="E66">
        <v>1059.5</v>
      </c>
      <c r="F66">
        <v>7224607788.71</v>
      </c>
      <c r="G66" s="2">
        <v>11.818631848131499</v>
      </c>
      <c r="H66" s="2"/>
      <c r="I66" s="2"/>
    </row>
    <row r="67" spans="1:9" x14ac:dyDescent="0.35">
      <c r="A67" s="1" t="s">
        <v>66</v>
      </c>
      <c r="C67" s="2" t="s">
        <v>7</v>
      </c>
      <c r="D67" s="3">
        <v>44925</v>
      </c>
      <c r="E67">
        <v>991.4</v>
      </c>
      <c r="F67">
        <v>6760241776.052</v>
      </c>
      <c r="G67" s="2">
        <v>-4.8351864479363398</v>
      </c>
      <c r="H67" s="2"/>
      <c r="I67" s="2"/>
    </row>
    <row r="68" spans="1:9" x14ac:dyDescent="0.35">
      <c r="A68" s="1" t="s">
        <v>67</v>
      </c>
      <c r="C68" s="2" t="s">
        <v>7</v>
      </c>
      <c r="D68" s="3">
        <v>44561</v>
      </c>
      <c r="E68">
        <v>1089</v>
      </c>
      <c r="F68">
        <v>7425764872.0199404</v>
      </c>
      <c r="G68" s="2">
        <v>26.884366127444199</v>
      </c>
      <c r="H68" s="2"/>
      <c r="I68" s="2"/>
    </row>
    <row r="69" spans="1:9" x14ac:dyDescent="0.35">
      <c r="A69" s="1" t="s">
        <v>68</v>
      </c>
      <c r="C69" s="2" t="s">
        <v>7</v>
      </c>
      <c r="D69" s="3">
        <v>44196</v>
      </c>
      <c r="E69" s="2">
        <v>895</v>
      </c>
      <c r="F69" s="2">
        <v>6102901341.0999899</v>
      </c>
      <c r="G69" s="2">
        <v>-0.65512961672353798</v>
      </c>
      <c r="H69" s="2"/>
      <c r="I69" s="2"/>
    </row>
    <row r="70" spans="1:9" x14ac:dyDescent="0.35">
      <c r="A70" s="1" t="s">
        <v>69</v>
      </c>
      <c r="C70" s="2" t="s">
        <v>7</v>
      </c>
      <c r="D70" s="3">
        <v>43830</v>
      </c>
      <c r="E70" s="2">
        <v>943.4</v>
      </c>
      <c r="F70" s="2">
        <v>6432935335.4119997</v>
      </c>
      <c r="G70" s="2">
        <v>34.602146942938603</v>
      </c>
      <c r="H70" s="2"/>
    </row>
    <row r="71" spans="1:9" x14ac:dyDescent="0.35">
      <c r="A71" s="1" t="s">
        <v>70</v>
      </c>
      <c r="C71" s="2" t="s">
        <v>7</v>
      </c>
      <c r="D71" s="3">
        <v>43465</v>
      </c>
      <c r="E71" s="2">
        <v>736.2</v>
      </c>
      <c r="F71" s="2">
        <v>5020062533.316</v>
      </c>
      <c r="G71" s="2">
        <v>-6.4027427872503502</v>
      </c>
      <c r="H71" s="2"/>
      <c r="I71" s="2"/>
    </row>
    <row r="72" spans="1:9" x14ac:dyDescent="0.35">
      <c r="A72" s="1" t="s">
        <v>71</v>
      </c>
      <c r="C72" s="2" t="s">
        <v>7</v>
      </c>
      <c r="D72" s="3">
        <v>43098</v>
      </c>
      <c r="E72" s="2">
        <v>829.5</v>
      </c>
      <c r="F72" s="2">
        <v>5656264427.3100004</v>
      </c>
      <c r="G72" s="2">
        <v>-3.7409783864244899</v>
      </c>
      <c r="H72" s="2"/>
      <c r="I72" s="2"/>
    </row>
    <row r="73" spans="1:9" x14ac:dyDescent="0.35">
      <c r="A73" s="1" t="s">
        <v>72</v>
      </c>
      <c r="C73" s="2" t="s">
        <v>7</v>
      </c>
      <c r="D73" s="3">
        <v>42734</v>
      </c>
      <c r="E73" s="2">
        <v>901</v>
      </c>
      <c r="F73" s="2">
        <v>6143814646.1800003</v>
      </c>
      <c r="G73" s="2">
        <v>0.41331783659726001</v>
      </c>
      <c r="H73" s="2"/>
      <c r="I73" s="2"/>
    </row>
    <row r="74" spans="1:9" x14ac:dyDescent="0.35">
      <c r="A74" s="1" t="s">
        <v>73</v>
      </c>
      <c r="C74" s="2" t="s">
        <v>8</v>
      </c>
      <c r="D74" s="3">
        <v>46022</v>
      </c>
      <c r="E74">
        <v>355.2</v>
      </c>
      <c r="F74">
        <v>12959086590.24</v>
      </c>
      <c r="G74" s="2">
        <v>220.29618131440401</v>
      </c>
      <c r="H74" s="2"/>
      <c r="I74" s="2"/>
    </row>
    <row r="75" spans="1:9" x14ac:dyDescent="0.35">
      <c r="A75" s="1" t="s">
        <v>74</v>
      </c>
      <c r="C75" s="2" t="s">
        <v>8</v>
      </c>
      <c r="D75" s="3">
        <v>45657</v>
      </c>
      <c r="E75">
        <v>113.6</v>
      </c>
      <c r="F75">
        <v>4188981747.888</v>
      </c>
      <c r="G75" s="2">
        <v>-8.8205423145663193</v>
      </c>
      <c r="H75" s="2"/>
      <c r="I75" s="2"/>
    </row>
    <row r="76" spans="1:9" x14ac:dyDescent="0.35">
      <c r="A76" s="1" t="s">
        <v>75</v>
      </c>
      <c r="C76" s="2" t="s">
        <v>8</v>
      </c>
      <c r="D76" s="3">
        <v>45289</v>
      </c>
      <c r="E76">
        <v>130.19999999999999</v>
      </c>
      <c r="F76">
        <v>4893113258.2079897</v>
      </c>
      <c r="G76" s="2">
        <v>21.119428180760899</v>
      </c>
      <c r="H76" s="2"/>
      <c r="I76" s="2"/>
    </row>
    <row r="77" spans="1:9" x14ac:dyDescent="0.35">
      <c r="A77" s="1" t="s">
        <v>76</v>
      </c>
      <c r="C77" s="2" t="s">
        <v>8</v>
      </c>
      <c r="D77" s="3">
        <v>44925</v>
      </c>
      <c r="E77">
        <v>111.8</v>
      </c>
      <c r="F77">
        <v>4201613381.4720001</v>
      </c>
      <c r="G77" s="2">
        <v>-13.549548804529101</v>
      </c>
      <c r="H77" s="2"/>
      <c r="I77" s="2"/>
    </row>
    <row r="78" spans="1:9" x14ac:dyDescent="0.35">
      <c r="A78" s="1" t="s">
        <v>77</v>
      </c>
      <c r="C78" s="2" t="s">
        <v>8</v>
      </c>
      <c r="D78" s="3">
        <v>44561</v>
      </c>
      <c r="E78">
        <v>133.69999999999999</v>
      </c>
      <c r="F78">
        <v>5024648560.8479996</v>
      </c>
      <c r="G78" s="2">
        <v>83.033851617544201</v>
      </c>
      <c r="H78" s="2"/>
      <c r="I78" s="2"/>
    </row>
    <row r="79" spans="1:9" x14ac:dyDescent="0.35">
      <c r="A79" s="1" t="s">
        <v>78</v>
      </c>
      <c r="C79" s="2" t="s">
        <v>8</v>
      </c>
      <c r="D79" s="3">
        <v>44196</v>
      </c>
      <c r="E79">
        <v>75.599999999999994</v>
      </c>
      <c r="F79">
        <v>2841162537.0240002</v>
      </c>
      <c r="G79" s="2">
        <v>-0.29220807871457299</v>
      </c>
      <c r="H79" s="2"/>
      <c r="I79" s="2"/>
    </row>
    <row r="80" spans="1:9" x14ac:dyDescent="0.35">
      <c r="A80" s="1" t="s">
        <v>79</v>
      </c>
      <c r="C80" s="2" t="s">
        <v>8</v>
      </c>
      <c r="D80" s="3">
        <v>43830</v>
      </c>
      <c r="E80">
        <v>79.95</v>
      </c>
      <c r="F80">
        <v>3004642127.448</v>
      </c>
      <c r="G80" s="2">
        <v>22.044060631631499</v>
      </c>
      <c r="H80" s="2"/>
      <c r="I80" s="2"/>
    </row>
    <row r="81" spans="1:9" x14ac:dyDescent="0.35">
      <c r="A81" s="1" t="s">
        <v>80</v>
      </c>
      <c r="C81" s="2" t="s">
        <v>8</v>
      </c>
      <c r="D81" s="3"/>
      <c r="E81" s="2" t="s">
        <v>100</v>
      </c>
      <c r="F81" s="2" t="s">
        <v>100</v>
      </c>
      <c r="G81" s="2" t="s">
        <v>100</v>
      </c>
      <c r="H81" s="2"/>
    </row>
    <row r="82" spans="1:9" x14ac:dyDescent="0.35">
      <c r="A82" s="1" t="s">
        <v>81</v>
      </c>
      <c r="C82" s="2" t="s">
        <v>9</v>
      </c>
      <c r="D82" s="3">
        <v>46022</v>
      </c>
      <c r="E82">
        <v>2930</v>
      </c>
      <c r="F82">
        <v>3112947178.3000002</v>
      </c>
      <c r="G82" s="2">
        <v>41.743005217632103</v>
      </c>
      <c r="H82" s="2"/>
      <c r="I82" s="2"/>
    </row>
    <row r="83" spans="1:9" x14ac:dyDescent="0.35">
      <c r="A83" s="1" t="s">
        <v>82</v>
      </c>
      <c r="C83" s="2" t="s">
        <v>9</v>
      </c>
      <c r="D83" s="3">
        <v>45657</v>
      </c>
      <c r="E83">
        <v>2124</v>
      </c>
      <c r="F83">
        <v>2256621094.4400001</v>
      </c>
      <c r="G83" s="2">
        <v>-21.880556959373099</v>
      </c>
      <c r="H83" s="2"/>
      <c r="I83" s="2"/>
    </row>
    <row r="84" spans="1:9" x14ac:dyDescent="0.35">
      <c r="A84" s="1" t="s">
        <v>83</v>
      </c>
      <c r="C84" s="2" t="s">
        <v>9</v>
      </c>
      <c r="D84" s="3">
        <v>45289</v>
      </c>
      <c r="E84" s="2">
        <v>2792</v>
      </c>
      <c r="F84" s="2">
        <v>3186819763.2799902</v>
      </c>
      <c r="G84" s="2">
        <v>50.341928404865897</v>
      </c>
      <c r="H84" s="2"/>
      <c r="I84" s="2"/>
    </row>
    <row r="85" spans="1:9" x14ac:dyDescent="0.35">
      <c r="A85" s="1" t="s">
        <v>84</v>
      </c>
      <c r="C85" s="2" t="s">
        <v>9</v>
      </c>
      <c r="D85" s="3">
        <v>44925</v>
      </c>
      <c r="E85" s="2">
        <v>1911</v>
      </c>
      <c r="F85" s="2">
        <v>2181236592.9899998</v>
      </c>
      <c r="G85" s="2">
        <v>-32.215460947826401</v>
      </c>
      <c r="H85" s="2"/>
      <c r="I85" s="2"/>
    </row>
    <row r="86" spans="1:9" x14ac:dyDescent="0.35">
      <c r="A86" s="1" t="s">
        <v>85</v>
      </c>
      <c r="C86" s="2" t="s">
        <v>9</v>
      </c>
      <c r="D86" s="3">
        <v>44561</v>
      </c>
      <c r="E86" s="2">
        <v>2910</v>
      </c>
      <c r="F86" s="2">
        <v>3321506271.9000001</v>
      </c>
      <c r="G86" s="2">
        <v>21.2875117838555</v>
      </c>
      <c r="H86" s="2"/>
      <c r="I86" s="2"/>
    </row>
    <row r="87" spans="1:9" x14ac:dyDescent="0.35">
      <c r="A87" s="1" t="s">
        <v>86</v>
      </c>
      <c r="C87" s="2" t="s">
        <v>9</v>
      </c>
      <c r="D87" s="3">
        <v>44196</v>
      </c>
      <c r="E87" s="2">
        <v>2448</v>
      </c>
      <c r="F87" s="2">
        <v>2794174348.3199902</v>
      </c>
      <c r="G87" s="2">
        <v>38.809446038268902</v>
      </c>
      <c r="H87" s="2"/>
      <c r="I87" s="2"/>
    </row>
    <row r="88" spans="1:9" x14ac:dyDescent="0.35">
      <c r="A88" s="1" t="s">
        <v>87</v>
      </c>
      <c r="C88" s="2" t="s">
        <v>9</v>
      </c>
      <c r="D88" s="3">
        <v>43830</v>
      </c>
      <c r="E88" s="2">
        <v>1773</v>
      </c>
      <c r="F88" s="2">
        <v>2023721862.5699999</v>
      </c>
      <c r="G88" s="2">
        <v>80.655267904175403</v>
      </c>
      <c r="H88" s="2"/>
      <c r="I88" s="2"/>
    </row>
    <row r="89" spans="1:9" x14ac:dyDescent="0.35">
      <c r="A89" s="1" t="s">
        <v>88</v>
      </c>
      <c r="C89" s="2" t="s">
        <v>9</v>
      </c>
      <c r="D89" s="4">
        <v>43465</v>
      </c>
      <c r="E89" s="2">
        <v>1006</v>
      </c>
      <c r="F89" s="2">
        <v>1148259556.54</v>
      </c>
      <c r="G89" s="2">
        <v>-10.9210467536042</v>
      </c>
      <c r="H89" s="2"/>
      <c r="I89" s="2"/>
    </row>
    <row r="90" spans="1:9" x14ac:dyDescent="0.35">
      <c r="A90" s="1" t="s">
        <v>89</v>
      </c>
      <c r="C90" s="2" t="s">
        <v>9</v>
      </c>
      <c r="D90" s="4">
        <v>43098</v>
      </c>
      <c r="E90" s="2">
        <v>1153</v>
      </c>
      <c r="F90" s="2">
        <v>1414592294.0999999</v>
      </c>
      <c r="G90" s="2">
        <v>47.8675812531229</v>
      </c>
      <c r="H90" s="2"/>
      <c r="I90" s="2"/>
    </row>
    <row r="91" spans="1:9" x14ac:dyDescent="0.35">
      <c r="A91" s="1" t="s">
        <v>90</v>
      </c>
      <c r="C91" s="2" t="s">
        <v>9</v>
      </c>
      <c r="D91" s="4">
        <v>42734</v>
      </c>
      <c r="E91" s="2">
        <v>800</v>
      </c>
      <c r="F91" s="2">
        <v>981503759.99999499</v>
      </c>
      <c r="G91" s="2">
        <v>-3.4606574924610101</v>
      </c>
      <c r="H91" s="2"/>
      <c r="I91" s="2"/>
    </row>
    <row r="92" spans="1:9" x14ac:dyDescent="0.35">
      <c r="A92" s="1" t="s">
        <v>91</v>
      </c>
      <c r="C92" s="2" t="s">
        <v>10</v>
      </c>
      <c r="D92" s="3">
        <v>46022</v>
      </c>
      <c r="E92" s="2">
        <v>832.5</v>
      </c>
      <c r="F92" s="2">
        <v>4487487287.3999996</v>
      </c>
      <c r="G92" s="2">
        <v>8.0489961989857104</v>
      </c>
      <c r="H92" s="2"/>
      <c r="I92" s="2"/>
    </row>
    <row r="93" spans="1:9" x14ac:dyDescent="0.35">
      <c r="A93" s="1" t="s">
        <v>92</v>
      </c>
      <c r="C93" s="2" t="s">
        <v>10</v>
      </c>
      <c r="D93" s="3">
        <v>45657</v>
      </c>
      <c r="E93" s="2">
        <v>793.5</v>
      </c>
      <c r="F93" s="2">
        <v>4362245531.7150002</v>
      </c>
      <c r="G93" s="2">
        <v>-0.129736158715898</v>
      </c>
      <c r="H93" s="2"/>
      <c r="I93" s="2"/>
    </row>
    <row r="94" spans="1:9" x14ac:dyDescent="0.35">
      <c r="A94" s="1" t="s">
        <v>93</v>
      </c>
      <c r="C94" s="2" t="s">
        <v>10</v>
      </c>
      <c r="D94" s="3">
        <v>45289</v>
      </c>
      <c r="E94" s="2">
        <v>813.6</v>
      </c>
      <c r="F94" s="2">
        <v>4464006334.9200001</v>
      </c>
      <c r="G94" s="2">
        <v>49.478136434218001</v>
      </c>
      <c r="H94" s="2"/>
      <c r="I94" s="2"/>
    </row>
    <row r="95" spans="1:9" x14ac:dyDescent="0.35">
      <c r="A95" s="1" t="s">
        <v>94</v>
      </c>
      <c r="C95" s="2" t="s">
        <v>10</v>
      </c>
      <c r="D95" s="3">
        <v>44925</v>
      </c>
      <c r="E95" s="2">
        <v>561.6</v>
      </c>
      <c r="F95" s="2">
        <v>3120688445.4720001</v>
      </c>
      <c r="G95" s="2">
        <v>-35.827523496808503</v>
      </c>
      <c r="H95" s="2"/>
      <c r="I95" s="2"/>
    </row>
    <row r="96" spans="1:9" x14ac:dyDescent="0.35">
      <c r="A96" s="1" t="s">
        <v>95</v>
      </c>
      <c r="C96" s="2" t="s">
        <v>10</v>
      </c>
      <c r="D96" s="3">
        <v>44561</v>
      </c>
      <c r="E96" s="2">
        <v>901.2</v>
      </c>
      <c r="F96" s="2">
        <v>5335160523.2639999</v>
      </c>
      <c r="G96" s="2">
        <v>34.405189114015201</v>
      </c>
      <c r="H96" s="2"/>
      <c r="I96" s="2"/>
    </row>
    <row r="97" spans="1:9" x14ac:dyDescent="0.35">
      <c r="A97" s="1" t="s">
        <v>96</v>
      </c>
      <c r="C97" s="2" t="s">
        <v>10</v>
      </c>
      <c r="D97" s="3">
        <v>44196</v>
      </c>
      <c r="E97" s="2">
        <v>681.6606352</v>
      </c>
      <c r="F97" s="2">
        <v>4117523199.3759999</v>
      </c>
      <c r="G97" s="2">
        <v>2.5275052035768701</v>
      </c>
      <c r="H97" s="2"/>
      <c r="I97" s="2"/>
    </row>
    <row r="98" spans="1:9" x14ac:dyDescent="0.35">
      <c r="A98" s="1" t="s">
        <v>97</v>
      </c>
      <c r="C98" s="2" t="s">
        <v>10</v>
      </c>
      <c r="D98" s="3">
        <v>43830</v>
      </c>
      <c r="E98" s="2">
        <v>664.85635620000005</v>
      </c>
      <c r="F98" s="2">
        <v>4026508338.006</v>
      </c>
      <c r="G98" s="2">
        <v>57.9496461632367</v>
      </c>
      <c r="H98" s="2"/>
      <c r="I98" s="2"/>
    </row>
    <row r="99" spans="1:9" x14ac:dyDescent="0.35">
      <c r="A99" s="1" t="s">
        <v>98</v>
      </c>
      <c r="C99" s="2" t="s">
        <v>10</v>
      </c>
      <c r="D99" s="3">
        <v>43465</v>
      </c>
      <c r="E99" s="2">
        <v>430.58493720000001</v>
      </c>
      <c r="F99" s="2">
        <v>2651488605.612</v>
      </c>
      <c r="G99" s="2">
        <v>-4.5330686304714902</v>
      </c>
      <c r="H99" s="2"/>
      <c r="I99" s="2"/>
    </row>
    <row r="100" spans="1:9" x14ac:dyDescent="0.35">
      <c r="A100" s="1" t="s">
        <v>99</v>
      </c>
      <c r="C100" s="2" t="s">
        <v>10</v>
      </c>
      <c r="D100" s="3">
        <v>43098</v>
      </c>
      <c r="E100" s="2">
        <v>461.42573160000001</v>
      </c>
      <c r="F100" s="2">
        <v>2897764512.9000001</v>
      </c>
      <c r="G100" s="2">
        <v>24.710335703128699</v>
      </c>
      <c r="H100" s="2"/>
      <c r="I100" s="2"/>
    </row>
    <row r="101" spans="1:9" x14ac:dyDescent="0.35">
      <c r="C101" s="2" t="s">
        <v>10</v>
      </c>
      <c r="D101" s="3">
        <v>42734</v>
      </c>
      <c r="E101" s="2">
        <v>379.38131060000001</v>
      </c>
      <c r="F101" s="2">
        <v>2412317226.3740001</v>
      </c>
      <c r="G101" s="2">
        <v>-25.432867624597801</v>
      </c>
      <c r="H101" s="2"/>
    </row>
    <row r="102" spans="1:9" x14ac:dyDescent="0.35">
      <c r="C102" s="2" t="s">
        <v>11</v>
      </c>
      <c r="D102" s="3">
        <v>46022</v>
      </c>
      <c r="E102">
        <v>4859.5</v>
      </c>
      <c r="F102">
        <v>105970646829.325</v>
      </c>
      <c r="G102" s="2">
        <v>3.1985554630536099</v>
      </c>
      <c r="H102" s="2"/>
      <c r="I102" s="2"/>
    </row>
    <row r="103" spans="1:9" x14ac:dyDescent="0.35">
      <c r="C103" s="2" t="s">
        <v>11</v>
      </c>
      <c r="D103" s="3">
        <v>45657</v>
      </c>
      <c r="E103">
        <v>4871.8596690000004</v>
      </c>
      <c r="F103">
        <v>112591293244.44</v>
      </c>
      <c r="G103" s="2">
        <v>23.742315266458899</v>
      </c>
      <c r="H103" s="2"/>
      <c r="I103" s="2"/>
    </row>
    <row r="104" spans="1:9" x14ac:dyDescent="0.35">
      <c r="C104" s="2" t="s">
        <v>11</v>
      </c>
      <c r="D104" s="3">
        <v>45289</v>
      </c>
      <c r="E104">
        <v>4070.5951500000001</v>
      </c>
      <c r="F104">
        <v>94962462308</v>
      </c>
      <c r="G104" s="2">
        <v>-5.7606249731726598</v>
      </c>
      <c r="H104" s="2"/>
      <c r="I104" s="2"/>
    </row>
    <row r="105" spans="1:9" x14ac:dyDescent="0.35">
      <c r="C105" s="2" t="s">
        <v>11</v>
      </c>
      <c r="D105" s="3">
        <v>44925</v>
      </c>
      <c r="E105">
        <v>4479.7970834999996</v>
      </c>
      <c r="F105">
        <v>105890331920.03999</v>
      </c>
      <c r="G105" s="2">
        <v>10.144423500645001</v>
      </c>
      <c r="H105" s="2"/>
      <c r="I105" s="2"/>
    </row>
    <row r="106" spans="1:9" x14ac:dyDescent="0.35">
      <c r="C106" s="2" t="s">
        <v>11</v>
      </c>
      <c r="D106" s="3">
        <v>44561</v>
      </c>
      <c r="E106">
        <v>4226.4560958749998</v>
      </c>
      <c r="F106">
        <v>101042932034.395</v>
      </c>
      <c r="G106" s="2">
        <v>-6.82293281434705</v>
      </c>
      <c r="H106" s="2"/>
      <c r="I106" s="2"/>
    </row>
    <row r="107" spans="1:9" x14ac:dyDescent="0.35">
      <c r="C107" s="2" t="s">
        <v>11</v>
      </c>
      <c r="D107" s="3">
        <v>44196</v>
      </c>
      <c r="E107">
        <v>4704.7510259999999</v>
      </c>
      <c r="F107">
        <v>115415682218.64</v>
      </c>
      <c r="G107" s="2">
        <v>4.3084607450835799</v>
      </c>
      <c r="H107" s="2"/>
      <c r="I107" s="2"/>
    </row>
    <row r="108" spans="1:9" x14ac:dyDescent="0.35">
      <c r="C108" s="2" t="s">
        <v>11</v>
      </c>
      <c r="D108" s="3">
        <v>43830</v>
      </c>
      <c r="E108">
        <v>4660.2958421249996</v>
      </c>
      <c r="F108">
        <v>114092620181.785</v>
      </c>
      <c r="G108" s="2">
        <v>9.2041293677709994</v>
      </c>
      <c r="H108" s="2"/>
      <c r="I108" s="2"/>
    </row>
    <row r="109" spans="1:9" x14ac:dyDescent="0.35">
      <c r="C109" s="2" t="s">
        <v>11</v>
      </c>
      <c r="D109" s="3">
        <v>43465</v>
      </c>
      <c r="E109">
        <v>4401.0632036249999</v>
      </c>
      <c r="F109">
        <v>121111148848.73599</v>
      </c>
      <c r="G109" s="2">
        <v>2.9142735964529298</v>
      </c>
      <c r="H109" s="2"/>
      <c r="I109" s="2"/>
    </row>
    <row r="110" spans="1:9" x14ac:dyDescent="0.35">
      <c r="C110" s="2" t="s">
        <v>11</v>
      </c>
      <c r="D110" s="3">
        <v>43098</v>
      </c>
      <c r="E110">
        <v>4419.2737608750003</v>
      </c>
      <c r="F110">
        <v>122297903412.23399</v>
      </c>
      <c r="G110" s="2">
        <v>29.194565008406698</v>
      </c>
      <c r="H110" s="2"/>
      <c r="I110" s="2"/>
    </row>
    <row r="111" spans="1:9" x14ac:dyDescent="0.35">
      <c r="C111" s="2" t="s">
        <v>11</v>
      </c>
      <c r="D111" s="3">
        <v>42734</v>
      </c>
      <c r="E111" s="2">
        <v>3526.9564556250002</v>
      </c>
      <c r="F111" s="2">
        <v>99418224233.333801</v>
      </c>
      <c r="G111" s="2">
        <v>16.157456246458601</v>
      </c>
      <c r="H111" s="2"/>
      <c r="I111" s="2"/>
    </row>
    <row r="112" spans="1:9" x14ac:dyDescent="0.35">
      <c r="C112" s="2" t="s">
        <v>12</v>
      </c>
      <c r="D112" s="3">
        <v>46022</v>
      </c>
      <c r="E112" s="2">
        <v>4626</v>
      </c>
      <c r="F112" s="2">
        <v>7120884790.4399996</v>
      </c>
      <c r="G112" s="2">
        <v>1.1858628080017</v>
      </c>
      <c r="H112" s="2"/>
    </row>
    <row r="113" spans="3:9" x14ac:dyDescent="0.35">
      <c r="C113" s="2" t="s">
        <v>12</v>
      </c>
      <c r="D113" s="3">
        <v>45657</v>
      </c>
      <c r="E113" s="2">
        <v>4728</v>
      </c>
      <c r="F113" s="2">
        <v>7630667044.5600004</v>
      </c>
      <c r="G113" s="2">
        <v>14.3135394035123</v>
      </c>
      <c r="H113" s="2"/>
      <c r="I113" s="2"/>
    </row>
    <row r="114" spans="3:9" x14ac:dyDescent="0.35">
      <c r="C114" s="2" t="s">
        <v>12</v>
      </c>
      <c r="D114" s="3">
        <v>45289</v>
      </c>
      <c r="E114" s="2">
        <v>4246</v>
      </c>
      <c r="F114" s="2">
        <v>6852752172.4200001</v>
      </c>
      <c r="G114" s="2">
        <v>8.0049181438469201</v>
      </c>
      <c r="H114" s="2"/>
      <c r="I114" s="2"/>
    </row>
    <row r="115" spans="3:9" x14ac:dyDescent="0.35">
      <c r="C115" s="2" t="s">
        <v>12</v>
      </c>
      <c r="D115" s="3">
        <v>44925</v>
      </c>
      <c r="E115" s="2">
        <v>4034</v>
      </c>
      <c r="F115" s="2">
        <v>6510598743.1800003</v>
      </c>
      <c r="G115" s="2">
        <v>-26.600715751708702</v>
      </c>
      <c r="H115" s="2"/>
      <c r="I115" s="2"/>
    </row>
    <row r="116" spans="3:9" x14ac:dyDescent="0.35">
      <c r="C116" s="2" t="s">
        <v>12</v>
      </c>
      <c r="D116" s="3">
        <v>44561</v>
      </c>
      <c r="E116">
        <v>5630</v>
      </c>
      <c r="F116">
        <v>9086433050.0999908</v>
      </c>
      <c r="G116" s="2">
        <v>1.6237426864347699</v>
      </c>
      <c r="H116" s="2"/>
      <c r="I116" s="2"/>
    </row>
    <row r="117" spans="3:9" x14ac:dyDescent="0.35">
      <c r="C117" s="2" t="s">
        <v>12</v>
      </c>
      <c r="D117" s="3">
        <v>44196</v>
      </c>
      <c r="E117">
        <v>5648</v>
      </c>
      <c r="F117">
        <v>9115483812.9599609</v>
      </c>
      <c r="G117" s="2">
        <v>-1.63929337943216</v>
      </c>
      <c r="H117" s="2"/>
      <c r="I117" s="2"/>
    </row>
    <row r="118" spans="3:9" x14ac:dyDescent="0.35">
      <c r="C118" s="2" t="s">
        <v>12</v>
      </c>
      <c r="D118" s="3">
        <v>43830</v>
      </c>
      <c r="E118">
        <v>5852</v>
      </c>
      <c r="F118">
        <v>9444725792.0399895</v>
      </c>
      <c r="G118" s="2">
        <v>24.297412528315199</v>
      </c>
      <c r="H118" s="2"/>
      <c r="I118" s="2"/>
    </row>
    <row r="119" spans="3:9" x14ac:dyDescent="0.35">
      <c r="C119" s="2" t="s">
        <v>12</v>
      </c>
      <c r="D119" s="3">
        <v>43465</v>
      </c>
      <c r="E119">
        <v>4800</v>
      </c>
      <c r="F119">
        <v>7746870096</v>
      </c>
      <c r="G119" s="2">
        <v>-6.02137452299133</v>
      </c>
      <c r="H119" s="2"/>
      <c r="I119" s="2"/>
    </row>
    <row r="120" spans="3:9" x14ac:dyDescent="0.35">
      <c r="C120" s="2" t="s">
        <v>12</v>
      </c>
      <c r="D120" s="3">
        <v>43098</v>
      </c>
      <c r="E120">
        <v>5190</v>
      </c>
      <c r="F120">
        <v>8376169025.9999905</v>
      </c>
      <c r="G120" s="2">
        <v>51.358115083196701</v>
      </c>
      <c r="H120" s="2"/>
      <c r="I120" s="2"/>
    </row>
    <row r="121" spans="3:9" x14ac:dyDescent="0.35">
      <c r="C121" s="2" t="s">
        <v>12</v>
      </c>
      <c r="D121" s="3">
        <v>42734</v>
      </c>
      <c r="E121">
        <v>3481</v>
      </c>
      <c r="F121">
        <v>5617873637.75</v>
      </c>
      <c r="G121" s="2">
        <v>27.412850946518802</v>
      </c>
      <c r="H121" s="2"/>
      <c r="I121" s="2"/>
    </row>
    <row r="122" spans="3:9" x14ac:dyDescent="0.35">
      <c r="C122" s="2" t="s">
        <v>13</v>
      </c>
      <c r="D122" s="3">
        <v>46022</v>
      </c>
      <c r="E122">
        <v>3119</v>
      </c>
      <c r="F122">
        <v>24833684727.32</v>
      </c>
      <c r="G122" s="2">
        <v>29.620986902903599</v>
      </c>
      <c r="H122" s="2"/>
      <c r="I122" s="2"/>
    </row>
    <row r="123" spans="3:9" x14ac:dyDescent="0.35">
      <c r="C123" s="2" t="s">
        <v>13</v>
      </c>
      <c r="D123" s="3">
        <v>45657</v>
      </c>
      <c r="E123" s="2">
        <v>2553</v>
      </c>
      <c r="F123" s="2">
        <v>21379268060.16</v>
      </c>
      <c r="G123" s="2">
        <v>51.686150397849801</v>
      </c>
      <c r="H123" s="2"/>
      <c r="I123" s="2"/>
    </row>
    <row r="124" spans="3:9" x14ac:dyDescent="0.35">
      <c r="C124" s="2" t="s">
        <v>13</v>
      </c>
      <c r="D124" s="3">
        <v>45289</v>
      </c>
      <c r="E124">
        <v>1806.5</v>
      </c>
      <c r="F124">
        <v>15939511264.919901</v>
      </c>
      <c r="G124" s="2">
        <v>-5.77042418340152</v>
      </c>
      <c r="H124" s="2"/>
      <c r="I124" s="2"/>
    </row>
    <row r="125" spans="3:9" x14ac:dyDescent="0.35">
      <c r="C125" s="2" t="s">
        <v>13</v>
      </c>
      <c r="D125" s="3">
        <v>44925</v>
      </c>
      <c r="E125">
        <v>2071</v>
      </c>
      <c r="F125">
        <v>19407808797.48</v>
      </c>
      <c r="G125" s="2">
        <v>37.871348002634797</v>
      </c>
      <c r="H125" s="2"/>
      <c r="I125" s="2"/>
    </row>
    <row r="126" spans="3:9" x14ac:dyDescent="0.35">
      <c r="C126" s="2" t="s">
        <v>13</v>
      </c>
      <c r="D126" s="3">
        <v>44561</v>
      </c>
      <c r="E126" s="2">
        <v>1616.5</v>
      </c>
      <c r="F126" s="2">
        <v>15298686952.665001</v>
      </c>
      <c r="G126" s="2">
        <v>15.176675055111099</v>
      </c>
      <c r="H126" s="2"/>
      <c r="I126" s="2"/>
    </row>
    <row r="127" spans="3:9" x14ac:dyDescent="0.35">
      <c r="C127" s="2" t="s">
        <v>13</v>
      </c>
      <c r="D127" s="3">
        <v>44196</v>
      </c>
      <c r="E127" s="2">
        <v>1535.5</v>
      </c>
      <c r="F127" s="2">
        <v>14532096390.8549</v>
      </c>
      <c r="G127" s="2">
        <v>-8.7821936682493202</v>
      </c>
      <c r="H127" s="2"/>
      <c r="I127" s="2"/>
    </row>
    <row r="128" spans="3:9" x14ac:dyDescent="0.35">
      <c r="C128" s="2" t="s">
        <v>13</v>
      </c>
      <c r="D128" s="3">
        <v>43830</v>
      </c>
      <c r="E128" s="2">
        <v>1869</v>
      </c>
      <c r="F128" s="2">
        <v>17688367407.689999</v>
      </c>
      <c r="G128" s="2">
        <v>-13.4205674126934</v>
      </c>
      <c r="H128" s="2"/>
      <c r="I128" s="2"/>
    </row>
    <row r="129" spans="3:9" x14ac:dyDescent="0.35">
      <c r="C129" s="2" t="s">
        <v>13</v>
      </c>
      <c r="D129" s="3">
        <v>43465</v>
      </c>
      <c r="E129" s="2">
        <v>2377</v>
      </c>
      <c r="F129" s="2">
        <v>22670327230.189899</v>
      </c>
      <c r="G129" s="2">
        <v>-19.5543994990153</v>
      </c>
      <c r="H129" s="2"/>
      <c r="I129" s="2"/>
    </row>
    <row r="130" spans="3:9" x14ac:dyDescent="0.35">
      <c r="C130" s="2" t="s">
        <v>13</v>
      </c>
      <c r="D130" s="3">
        <v>43098</v>
      </c>
      <c r="E130" s="2">
        <v>3166</v>
      </c>
      <c r="F130" s="2">
        <v>30195311742.02</v>
      </c>
      <c r="G130" s="2">
        <v>-6.14350438625039</v>
      </c>
      <c r="H130" s="2"/>
      <c r="I130" s="2"/>
    </row>
    <row r="131" spans="3:9" x14ac:dyDescent="0.35">
      <c r="C131" s="2" t="s">
        <v>13</v>
      </c>
      <c r="D131" s="3">
        <v>42734</v>
      </c>
      <c r="E131" s="2">
        <v>3542.5</v>
      </c>
      <c r="F131" s="2">
        <v>33962332321.775002</v>
      </c>
      <c r="G131" s="2">
        <v>2.9259899686046298</v>
      </c>
      <c r="H131" s="2"/>
      <c r="I131" s="2"/>
    </row>
    <row r="132" spans="3:9" x14ac:dyDescent="0.35">
      <c r="C132" s="2" t="s">
        <v>14</v>
      </c>
      <c r="D132" s="3">
        <v>46022</v>
      </c>
      <c r="E132" s="2">
        <v>98.24</v>
      </c>
      <c r="F132" s="2">
        <v>57849354514.604797</v>
      </c>
      <c r="G132" s="2">
        <v>87.941089231382804</v>
      </c>
      <c r="H132" s="2"/>
      <c r="I132" s="2"/>
    </row>
    <row r="133" spans="3:9" x14ac:dyDescent="0.35">
      <c r="C133" s="2" t="s">
        <v>14</v>
      </c>
      <c r="D133" s="3">
        <v>45657</v>
      </c>
      <c r="E133" s="2">
        <v>54.78</v>
      </c>
      <c r="F133" s="2">
        <v>33205999705.513802</v>
      </c>
      <c r="G133" s="2">
        <v>21.234851171895698</v>
      </c>
      <c r="H133" s="2"/>
      <c r="I133" s="2"/>
    </row>
    <row r="134" spans="3:9" x14ac:dyDescent="0.35">
      <c r="C134" s="2" t="s">
        <v>14</v>
      </c>
      <c r="D134" s="3">
        <v>45289</v>
      </c>
      <c r="E134" s="2">
        <v>47.71</v>
      </c>
      <c r="F134" s="2">
        <v>30328877563.340099</v>
      </c>
      <c r="G134" s="2">
        <v>10.8567756787291</v>
      </c>
      <c r="H134" s="2"/>
    </row>
    <row r="135" spans="3:9" x14ac:dyDescent="0.35">
      <c r="C135" s="2" t="s">
        <v>14</v>
      </c>
      <c r="D135" s="3">
        <v>44925</v>
      </c>
      <c r="E135" s="2">
        <v>45.41</v>
      </c>
      <c r="F135" s="2">
        <v>30555413685.8363</v>
      </c>
      <c r="G135" s="2">
        <v>-0.41441059121288798</v>
      </c>
      <c r="H135" s="2"/>
      <c r="I135" s="2"/>
    </row>
    <row r="136" spans="3:9" x14ac:dyDescent="0.35">
      <c r="C136" s="2" t="s">
        <v>14</v>
      </c>
      <c r="D136" s="3">
        <v>44561</v>
      </c>
      <c r="E136" s="2">
        <v>47.8</v>
      </c>
      <c r="F136" s="2">
        <v>33948799518.529999</v>
      </c>
      <c r="G136" s="2">
        <v>34.8611069247115</v>
      </c>
      <c r="H136" s="2"/>
      <c r="I136" s="2"/>
    </row>
    <row r="137" spans="3:9" x14ac:dyDescent="0.35">
      <c r="C137" s="2" t="s">
        <v>14</v>
      </c>
      <c r="D137" s="3">
        <v>44196</v>
      </c>
      <c r="E137">
        <v>36.44</v>
      </c>
      <c r="F137">
        <v>25813806688.263901</v>
      </c>
      <c r="G137" s="2">
        <v>-41.695999999743698</v>
      </c>
      <c r="H137" s="2"/>
      <c r="I137" s="2"/>
    </row>
    <row r="138" spans="3:9" x14ac:dyDescent="0.35">
      <c r="C138" s="2" t="s">
        <v>14</v>
      </c>
      <c r="D138" s="3">
        <v>43830</v>
      </c>
      <c r="E138">
        <v>62.5</v>
      </c>
      <c r="F138">
        <v>43782848648.75</v>
      </c>
      <c r="G138" s="2">
        <v>27.4655208927703</v>
      </c>
      <c r="H138" s="2"/>
      <c r="I138" s="2"/>
    </row>
    <row r="139" spans="3:9" x14ac:dyDescent="0.35">
      <c r="C139" s="2" t="s">
        <v>14</v>
      </c>
      <c r="D139" s="3">
        <v>43465</v>
      </c>
      <c r="E139">
        <v>51.85</v>
      </c>
      <c r="F139">
        <v>36898322588.884003</v>
      </c>
      <c r="G139" s="2">
        <v>-20.055755651305599</v>
      </c>
      <c r="H139" s="2"/>
      <c r="I139" s="2"/>
    </row>
    <row r="140" spans="3:9" x14ac:dyDescent="0.35">
      <c r="C140" s="2" t="s">
        <v>14</v>
      </c>
      <c r="D140" s="3">
        <v>43098</v>
      </c>
      <c r="E140">
        <v>68.06</v>
      </c>
      <c r="F140">
        <v>48984789490.2733</v>
      </c>
      <c r="G140" s="2">
        <v>14.3870037777113</v>
      </c>
      <c r="H140" s="2"/>
      <c r="I140" s="2"/>
    </row>
    <row r="141" spans="3:9" x14ac:dyDescent="0.35">
      <c r="C141" s="2" t="s">
        <v>14</v>
      </c>
      <c r="D141" s="3">
        <v>42734</v>
      </c>
      <c r="E141">
        <v>62.032736149999998</v>
      </c>
      <c r="F141">
        <v>44615721971.660698</v>
      </c>
      <c r="G141" s="2">
        <v>-10.4673859495002</v>
      </c>
      <c r="H141" s="2"/>
      <c r="I141" s="2"/>
    </row>
    <row r="142" spans="3:9" x14ac:dyDescent="0.35">
      <c r="C142" s="2" t="s">
        <v>15</v>
      </c>
      <c r="D142" s="3">
        <v>46022</v>
      </c>
      <c r="E142">
        <v>3842</v>
      </c>
      <c r="F142">
        <v>13965973287.48</v>
      </c>
      <c r="G142">
        <v>43.808184504984901</v>
      </c>
      <c r="H142" s="2"/>
      <c r="I142" s="2"/>
    </row>
    <row r="143" spans="3:9" x14ac:dyDescent="0.35">
      <c r="C143" s="2" t="s">
        <v>15</v>
      </c>
      <c r="D143" s="3">
        <v>45657</v>
      </c>
      <c r="E143">
        <v>2732</v>
      </c>
      <c r="F143">
        <v>9894259419.7999992</v>
      </c>
      <c r="G143" s="2">
        <v>22.077752054258301</v>
      </c>
      <c r="H143" s="2"/>
      <c r="I143" s="2"/>
    </row>
    <row r="144" spans="3:9" x14ac:dyDescent="0.35">
      <c r="C144" s="2" t="s">
        <v>15</v>
      </c>
      <c r="D144" s="3">
        <v>45289</v>
      </c>
      <c r="E144" s="2">
        <v>2305</v>
      </c>
      <c r="F144" s="2">
        <v>8457245189.25</v>
      </c>
      <c r="G144" s="2">
        <v>20.1428055105177</v>
      </c>
      <c r="H144" s="2"/>
      <c r="I144" s="2"/>
    </row>
    <row r="145" spans="3:9" x14ac:dyDescent="0.35">
      <c r="C145" s="2" t="s">
        <v>15</v>
      </c>
      <c r="D145" s="3">
        <v>44925</v>
      </c>
      <c r="E145" s="2">
        <v>1973</v>
      </c>
      <c r="F145" s="2">
        <v>7234978727.9399996</v>
      </c>
      <c r="G145" s="2">
        <v>-20.204719051316602</v>
      </c>
      <c r="H145" s="2"/>
      <c r="I145" s="2"/>
    </row>
    <row r="146" spans="3:9" x14ac:dyDescent="0.35">
      <c r="C146" s="2" t="s">
        <v>15</v>
      </c>
      <c r="D146" s="3">
        <v>44561</v>
      </c>
      <c r="E146" s="2">
        <v>2555</v>
      </c>
      <c r="F146" s="2">
        <v>9348766334.2499599</v>
      </c>
      <c r="G146" s="2">
        <v>9.7843400882572595</v>
      </c>
      <c r="H146" s="2"/>
      <c r="I146" s="2"/>
    </row>
    <row r="147" spans="3:9" x14ac:dyDescent="0.35">
      <c r="C147" s="2" t="s">
        <v>15</v>
      </c>
      <c r="D147" s="3">
        <v>44196</v>
      </c>
      <c r="E147" s="2">
        <v>2377</v>
      </c>
      <c r="F147" s="2">
        <v>8659962036.1399899</v>
      </c>
      <c r="G147" s="2">
        <v>-4.7181080377319704</v>
      </c>
      <c r="H147" s="2"/>
      <c r="I147" s="2"/>
    </row>
    <row r="148" spans="3:9" x14ac:dyDescent="0.35">
      <c r="C148" s="2" t="s">
        <v>15</v>
      </c>
      <c r="D148" s="3">
        <v>43830</v>
      </c>
      <c r="E148" s="2">
        <v>2565</v>
      </c>
      <c r="F148" s="2">
        <v>9317924850.5999794</v>
      </c>
      <c r="G148" s="2">
        <v>13.074407531375201</v>
      </c>
      <c r="H148" s="2"/>
      <c r="I148" s="2"/>
    </row>
    <row r="149" spans="3:9" x14ac:dyDescent="0.35">
      <c r="C149" s="2" t="s">
        <v>15</v>
      </c>
      <c r="D149" s="3">
        <v>43465</v>
      </c>
      <c r="E149" s="2">
        <v>2308.8841160000002</v>
      </c>
      <c r="F149" s="2">
        <v>9007399956.5199699</v>
      </c>
      <c r="G149" s="2">
        <v>3.2684278801430802</v>
      </c>
      <c r="H149" s="2"/>
      <c r="I149" s="2"/>
    </row>
    <row r="150" spans="3:9" x14ac:dyDescent="0.35">
      <c r="C150" s="2" t="s">
        <v>15</v>
      </c>
      <c r="D150" s="3">
        <v>43098</v>
      </c>
      <c r="E150" s="2">
        <v>2278.7518599999999</v>
      </c>
      <c r="F150" s="2">
        <v>8889095091.7999802</v>
      </c>
      <c r="G150" s="2">
        <v>39.074225569363399</v>
      </c>
      <c r="H150" s="2"/>
      <c r="I150" s="2"/>
    </row>
    <row r="151" spans="3:9" x14ac:dyDescent="0.35">
      <c r="C151" s="2" t="s">
        <v>15</v>
      </c>
      <c r="D151" s="3">
        <v>42734</v>
      </c>
      <c r="E151" s="2">
        <v>1666.6904099999999</v>
      </c>
      <c r="F151" s="2">
        <v>6426448244.3999996</v>
      </c>
      <c r="G151" s="2">
        <v>24.939769442761001</v>
      </c>
      <c r="H151" s="2"/>
      <c r="I151" s="2"/>
    </row>
    <row r="152" spans="3:9" x14ac:dyDescent="0.35">
      <c r="C152" s="2" t="s">
        <v>16</v>
      </c>
      <c r="D152" s="3">
        <v>46022</v>
      </c>
      <c r="E152" s="2">
        <v>8952</v>
      </c>
      <c r="F152" s="2">
        <v>45691730874</v>
      </c>
      <c r="G152" s="2">
        <v>-19.647937610891798</v>
      </c>
      <c r="H152" s="2"/>
      <c r="I152" s="2"/>
    </row>
    <row r="153" spans="3:9" x14ac:dyDescent="0.35">
      <c r="C153" s="2" t="s">
        <v>16</v>
      </c>
      <c r="D153" s="3">
        <v>45657</v>
      </c>
      <c r="E153" s="2">
        <v>11285</v>
      </c>
      <c r="F153" s="2">
        <v>59974342401</v>
      </c>
      <c r="G153" s="2">
        <v>23.257283027951701</v>
      </c>
      <c r="H153" s="2"/>
      <c r="I153" s="2"/>
    </row>
    <row r="154" spans="3:9" x14ac:dyDescent="0.35">
      <c r="C154" s="2" t="s">
        <v>16</v>
      </c>
      <c r="D154" s="3">
        <v>45289</v>
      </c>
      <c r="E154" s="2">
        <v>9274</v>
      </c>
      <c r="F154" s="2">
        <v>50191721083.419899</v>
      </c>
      <c r="G154" s="2">
        <v>31.771334118122901</v>
      </c>
      <c r="H154" s="2"/>
      <c r="I154" s="2"/>
    </row>
    <row r="155" spans="3:9" x14ac:dyDescent="0.35">
      <c r="C155" s="2" t="s">
        <v>16</v>
      </c>
      <c r="D155" s="3">
        <v>44925</v>
      </c>
      <c r="E155" s="2">
        <v>7136</v>
      </c>
      <c r="F155" s="2">
        <v>39565315084.800003</v>
      </c>
      <c r="G155" s="2">
        <v>4.2742325475544103</v>
      </c>
      <c r="H155" s="2"/>
      <c r="I155" s="2"/>
    </row>
    <row r="156" spans="3:9" x14ac:dyDescent="0.35">
      <c r="C156" s="2" t="s">
        <v>16</v>
      </c>
      <c r="D156" s="3">
        <v>44561</v>
      </c>
      <c r="E156" s="2">
        <v>6930</v>
      </c>
      <c r="F156" s="2">
        <v>38625106905</v>
      </c>
      <c r="G156" s="2">
        <v>-22.293599273270001</v>
      </c>
      <c r="H156" s="2"/>
    </row>
    <row r="157" spans="3:9" x14ac:dyDescent="0.35">
      <c r="C157" s="2" t="s">
        <v>16</v>
      </c>
      <c r="D157" s="3">
        <v>44196</v>
      </c>
      <c r="E157">
        <v>9008</v>
      </c>
      <c r="F157">
        <v>31670965247.359901</v>
      </c>
      <c r="G157" s="2">
        <v>17.318702406836898</v>
      </c>
      <c r="H157" s="2"/>
      <c r="I157" s="2"/>
    </row>
    <row r="158" spans="3:9" x14ac:dyDescent="0.35">
      <c r="C158" s="2" t="s">
        <v>16</v>
      </c>
      <c r="D158" s="3">
        <v>43830</v>
      </c>
      <c r="E158">
        <v>7750</v>
      </c>
      <c r="F158">
        <v>27105059560</v>
      </c>
      <c r="G158" s="2">
        <v>92.974416772587404</v>
      </c>
      <c r="H158" s="2"/>
      <c r="I158" s="2"/>
    </row>
    <row r="159" spans="3:9" x14ac:dyDescent="0.35">
      <c r="C159" s="2" t="s">
        <v>16</v>
      </c>
      <c r="D159" s="3">
        <v>43465</v>
      </c>
      <c r="E159">
        <v>4062</v>
      </c>
      <c r="F159">
        <v>14142641718.5399</v>
      </c>
      <c r="G159" s="2">
        <v>8.4329215064888405</v>
      </c>
      <c r="H159" s="2"/>
      <c r="I159" s="2"/>
    </row>
    <row r="160" spans="3:9" x14ac:dyDescent="0.35">
      <c r="C160" s="2" t="s">
        <v>16</v>
      </c>
      <c r="D160" s="3">
        <v>43098</v>
      </c>
      <c r="E160">
        <v>3793</v>
      </c>
      <c r="F160">
        <v>13151725079.2199</v>
      </c>
      <c r="G160" s="2">
        <v>31.850756669436802</v>
      </c>
      <c r="H160" s="2"/>
      <c r="I160" s="2"/>
    </row>
    <row r="161" spans="3:9" x14ac:dyDescent="0.35">
      <c r="C161" s="2" t="s">
        <v>16</v>
      </c>
      <c r="D161" s="3">
        <v>42734</v>
      </c>
      <c r="E161">
        <v>2914</v>
      </c>
      <c r="F161">
        <v>10207927738.360001</v>
      </c>
      <c r="G161" s="2">
        <v>7.6784469383445897</v>
      </c>
      <c r="H161" s="2"/>
      <c r="I161" s="2"/>
    </row>
    <row r="162" spans="3:9" x14ac:dyDescent="0.35">
      <c r="C162" s="2" t="s">
        <v>17</v>
      </c>
      <c r="D162" s="3">
        <v>46022</v>
      </c>
      <c r="E162">
        <v>381.1</v>
      </c>
      <c r="F162">
        <v>5436873904.0019999</v>
      </c>
      <c r="G162">
        <v>-9.4570851798702495</v>
      </c>
      <c r="H162" s="2"/>
      <c r="I162" s="2"/>
    </row>
    <row r="163" spans="3:9" x14ac:dyDescent="0.35">
      <c r="C163" s="2" t="s">
        <v>17</v>
      </c>
      <c r="D163" s="3">
        <v>45657</v>
      </c>
      <c r="E163">
        <v>440.1</v>
      </c>
      <c r="F163">
        <v>6385991809.9949999</v>
      </c>
      <c r="G163" s="2">
        <v>-19.0816178716717</v>
      </c>
      <c r="H163" s="2"/>
      <c r="I163" s="2"/>
    </row>
    <row r="164" spans="3:9" x14ac:dyDescent="0.35">
      <c r="C164" s="2" t="s">
        <v>17</v>
      </c>
      <c r="D164" s="3">
        <v>45289</v>
      </c>
      <c r="E164">
        <v>562.6</v>
      </c>
      <c r="F164">
        <v>5483020025.8559999</v>
      </c>
      <c r="G164" s="2">
        <v>52.850477150083599</v>
      </c>
      <c r="H164" s="2"/>
      <c r="I164" s="2"/>
    </row>
    <row r="165" spans="3:9" x14ac:dyDescent="0.35">
      <c r="C165" s="2" t="s">
        <v>17</v>
      </c>
      <c r="D165" s="3">
        <v>44925</v>
      </c>
      <c r="E165">
        <v>396.8</v>
      </c>
      <c r="F165">
        <v>3955849880.8319998</v>
      </c>
      <c r="G165" s="2">
        <v>-41.473229538621702</v>
      </c>
      <c r="H165" s="2"/>
      <c r="I165" s="2"/>
    </row>
    <row r="166" spans="3:9" x14ac:dyDescent="0.35">
      <c r="C166" s="2" t="s">
        <v>17</v>
      </c>
      <c r="D166" s="3">
        <v>44561</v>
      </c>
      <c r="E166" s="2">
        <v>748</v>
      </c>
      <c r="F166" s="2">
        <v>7648564881.7599401</v>
      </c>
      <c r="G166" s="2">
        <v>16.4324498751105</v>
      </c>
      <c r="H166" s="2"/>
      <c r="I166" s="2"/>
    </row>
    <row r="167" spans="3:9" x14ac:dyDescent="0.35">
      <c r="C167" s="2" t="s">
        <v>17</v>
      </c>
      <c r="D167" s="3">
        <v>44196</v>
      </c>
      <c r="E167" s="2">
        <v>670</v>
      </c>
      <c r="F167" s="2">
        <v>6822723484.5999899</v>
      </c>
      <c r="G167" s="2">
        <v>-10.2598446288732</v>
      </c>
      <c r="H167" s="2"/>
    </row>
    <row r="168" spans="3:9" x14ac:dyDescent="0.35">
      <c r="C168" s="2" t="s">
        <v>17</v>
      </c>
      <c r="D168" s="3">
        <v>43830</v>
      </c>
      <c r="E168" s="2">
        <v>746.6</v>
      </c>
      <c r="F168" s="2">
        <v>7602481802.3699703</v>
      </c>
      <c r="G168" s="2">
        <v>74.224496570290995</v>
      </c>
      <c r="H168" s="2"/>
      <c r="I168" s="2"/>
    </row>
    <row r="169" spans="3:9" x14ac:dyDescent="0.35">
      <c r="C169" s="2" t="s">
        <v>17</v>
      </c>
      <c r="D169" s="3">
        <v>43465</v>
      </c>
      <c r="E169" s="2">
        <v>449.66157079999999</v>
      </c>
      <c r="F169" s="2">
        <v>4693980035.368</v>
      </c>
      <c r="G169" s="2">
        <v>-22.329760911186199</v>
      </c>
      <c r="H169" s="2"/>
      <c r="I169" s="2"/>
    </row>
    <row r="170" spans="3:9" x14ac:dyDescent="0.35">
      <c r="C170" s="2" t="s">
        <v>17</v>
      </c>
      <c r="D170" s="3">
        <v>43098</v>
      </c>
      <c r="E170" s="2">
        <v>609.51480180290002</v>
      </c>
      <c r="F170" s="2">
        <v>6555460344.3000002</v>
      </c>
      <c r="G170" s="2">
        <v>49.122904316177902</v>
      </c>
      <c r="H170" s="2"/>
      <c r="I170" s="2"/>
    </row>
    <row r="171" spans="3:9" x14ac:dyDescent="0.35">
      <c r="C171" s="2" t="s">
        <v>17</v>
      </c>
      <c r="D171" s="3">
        <v>42734</v>
      </c>
      <c r="E171">
        <v>424.49316120769998</v>
      </c>
      <c r="F171">
        <v>4654701080.368</v>
      </c>
      <c r="G171" s="2">
        <v>-21.1654992237691</v>
      </c>
      <c r="H171" s="2"/>
      <c r="I171" s="2"/>
    </row>
    <row r="172" spans="3:9" x14ac:dyDescent="0.35">
      <c r="C172" s="2" t="s">
        <v>18</v>
      </c>
      <c r="D172" s="3">
        <v>46022</v>
      </c>
      <c r="E172">
        <v>2179</v>
      </c>
      <c r="F172">
        <v>26301721281.09</v>
      </c>
      <c r="G172" s="2">
        <v>42.189026677186398</v>
      </c>
      <c r="H172" s="2"/>
      <c r="I172" s="2"/>
    </row>
    <row r="173" spans="3:9" x14ac:dyDescent="0.35">
      <c r="C173" s="2" t="s">
        <v>18</v>
      </c>
      <c r="D173" s="3">
        <v>45657</v>
      </c>
      <c r="E173">
        <v>1604</v>
      </c>
      <c r="F173">
        <v>17699833299.16</v>
      </c>
      <c r="G173" s="2">
        <v>-10.6809124653869</v>
      </c>
      <c r="H173" s="2"/>
      <c r="I173" s="2"/>
    </row>
    <row r="174" spans="3:9" x14ac:dyDescent="0.35">
      <c r="C174" s="2" t="s">
        <v>18</v>
      </c>
      <c r="D174" s="3">
        <v>45289</v>
      </c>
      <c r="E174">
        <v>1856</v>
      </c>
      <c r="F174">
        <v>20283660091.52</v>
      </c>
      <c r="G174" s="2">
        <v>14.6835113171055</v>
      </c>
      <c r="H174" s="2"/>
      <c r="I174" s="2"/>
    </row>
    <row r="175" spans="3:9" x14ac:dyDescent="0.35">
      <c r="C175" s="2" t="s">
        <v>18</v>
      </c>
      <c r="D175" s="3">
        <v>44925</v>
      </c>
      <c r="E175">
        <v>1712</v>
      </c>
      <c r="F175">
        <v>18501965964.32</v>
      </c>
      <c r="G175" s="2">
        <v>9.1663298274279299</v>
      </c>
      <c r="H175" s="2"/>
      <c r="I175" s="2"/>
    </row>
    <row r="176" spans="3:9" x14ac:dyDescent="0.35">
      <c r="C176" s="2" t="s">
        <v>18</v>
      </c>
      <c r="D176" s="3">
        <v>44561</v>
      </c>
      <c r="E176">
        <v>1649</v>
      </c>
      <c r="F176">
        <v>17575558879.049999</v>
      </c>
      <c r="G176" s="2">
        <v>15.980719026005501</v>
      </c>
      <c r="H176" s="2"/>
      <c r="I176" s="2"/>
    </row>
    <row r="177" spans="3:9" x14ac:dyDescent="0.35">
      <c r="C177" s="2" t="s">
        <v>18</v>
      </c>
      <c r="D177" s="3">
        <v>44196</v>
      </c>
      <c r="E177">
        <v>1500</v>
      </c>
      <c r="F177">
        <v>15631348395</v>
      </c>
      <c r="G177" s="2">
        <v>10.4053385454541</v>
      </c>
      <c r="H177" s="2"/>
      <c r="I177" s="2"/>
    </row>
    <row r="178" spans="3:9" x14ac:dyDescent="0.35">
      <c r="C178" s="2" t="s">
        <v>18</v>
      </c>
      <c r="D178" s="3">
        <v>43830</v>
      </c>
      <c r="E178" s="2">
        <v>1438.5</v>
      </c>
      <c r="F178" s="2">
        <v>14873372504.969999</v>
      </c>
      <c r="G178" s="2">
        <v>45.092665846390098</v>
      </c>
      <c r="H178" s="2"/>
      <c r="I178" s="2"/>
    </row>
    <row r="179" spans="3:9" x14ac:dyDescent="0.35">
      <c r="C179" s="2" t="s">
        <v>18</v>
      </c>
      <c r="D179" s="3">
        <v>43465</v>
      </c>
      <c r="E179">
        <v>1081.5</v>
      </c>
      <c r="F179">
        <v>11102004490.079901</v>
      </c>
      <c r="G179" s="2">
        <v>-11.872929895473</v>
      </c>
      <c r="H179" s="2"/>
      <c r="I179" s="2"/>
    </row>
    <row r="180" spans="3:9" x14ac:dyDescent="0.35">
      <c r="C180" s="2" t="s">
        <v>18</v>
      </c>
      <c r="D180" s="3">
        <v>43098</v>
      </c>
      <c r="E180">
        <v>1320</v>
      </c>
      <c r="F180">
        <v>13389593236.799999</v>
      </c>
      <c r="G180" s="2">
        <v>-9.4590829019794391</v>
      </c>
      <c r="H180" s="2"/>
      <c r="I180" s="2"/>
    </row>
    <row r="181" spans="3:9" x14ac:dyDescent="0.35">
      <c r="C181" s="2" t="s">
        <v>18</v>
      </c>
      <c r="D181" s="3">
        <v>42734</v>
      </c>
      <c r="E181" s="2">
        <v>1553</v>
      </c>
      <c r="F181" s="2">
        <v>15717041037.089899</v>
      </c>
      <c r="G181" s="2">
        <v>7.8734575184306301</v>
      </c>
      <c r="H181" s="2"/>
      <c r="I181" s="2"/>
    </row>
    <row r="182" spans="3:9" x14ac:dyDescent="0.35">
      <c r="C182" s="2" t="s">
        <v>19</v>
      </c>
      <c r="D182" s="3">
        <v>46022</v>
      </c>
      <c r="E182" s="2">
        <v>414.3</v>
      </c>
      <c r="F182" s="2">
        <v>18910541448.293999</v>
      </c>
      <c r="G182" s="2">
        <v>40.818006529877898</v>
      </c>
      <c r="H182" s="2"/>
      <c r="I182" s="2"/>
    </row>
    <row r="183" spans="3:9" x14ac:dyDescent="0.35">
      <c r="C183" s="2" t="s">
        <v>19</v>
      </c>
      <c r="D183" s="3">
        <v>45657</v>
      </c>
      <c r="E183" s="2">
        <v>301.89999999999998</v>
      </c>
      <c r="F183" s="2">
        <v>14653136388.558001</v>
      </c>
      <c r="G183" s="2">
        <v>97.386776837352798</v>
      </c>
      <c r="H183" s="2"/>
      <c r="I183" s="2"/>
    </row>
    <row r="184" spans="3:9" x14ac:dyDescent="0.35">
      <c r="C184" s="2" t="s">
        <v>19</v>
      </c>
      <c r="D184" s="3">
        <v>45289</v>
      </c>
      <c r="E184" s="2">
        <v>155</v>
      </c>
      <c r="F184" s="2">
        <v>7619081991.9499998</v>
      </c>
      <c r="G184" s="2">
        <v>25.161498708093401</v>
      </c>
      <c r="H184" s="2"/>
      <c r="I184" s="2"/>
    </row>
    <row r="185" spans="3:9" x14ac:dyDescent="0.35">
      <c r="C185" s="2" t="s">
        <v>19</v>
      </c>
      <c r="D185" s="3">
        <v>44925</v>
      </c>
      <c r="E185" s="2">
        <v>123.84</v>
      </c>
      <c r="F185" s="2">
        <v>6135557771.3759899</v>
      </c>
      <c r="G185" s="2">
        <v>-13.082537899936</v>
      </c>
      <c r="H185" s="2"/>
      <c r="I185" s="2"/>
    </row>
    <row r="186" spans="3:9" x14ac:dyDescent="0.35">
      <c r="C186" s="2" t="s">
        <v>19</v>
      </c>
      <c r="D186" s="3">
        <v>44561</v>
      </c>
      <c r="E186" s="2">
        <v>142.47999999999999</v>
      </c>
      <c r="F186" s="2">
        <v>7068892547.3400002</v>
      </c>
      <c r="G186" s="2">
        <v>-10.838548185397</v>
      </c>
      <c r="H186" s="2"/>
      <c r="I186" s="2"/>
    </row>
    <row r="187" spans="3:9" x14ac:dyDescent="0.35">
      <c r="C187" s="2" t="s">
        <v>19</v>
      </c>
      <c r="D187" s="3">
        <v>44196</v>
      </c>
      <c r="E187" s="2">
        <v>159.80000000000001</v>
      </c>
      <c r="F187" s="2">
        <v>7936273876.9059401</v>
      </c>
      <c r="G187" s="2">
        <v>-61.398751740062103</v>
      </c>
      <c r="H187" s="2"/>
      <c r="I187" s="2"/>
    </row>
    <row r="188" spans="3:9" x14ac:dyDescent="0.35">
      <c r="C188" s="2" t="s">
        <v>19</v>
      </c>
      <c r="D188" s="3">
        <v>43830</v>
      </c>
      <c r="E188" s="2">
        <v>413.97624999999999</v>
      </c>
      <c r="F188" s="2">
        <v>12402063368.75</v>
      </c>
      <c r="G188" s="2">
        <v>13.790388960904499</v>
      </c>
      <c r="H188" s="2"/>
      <c r="I188" s="2"/>
    </row>
    <row r="189" spans="3:9" x14ac:dyDescent="0.35">
      <c r="C189" s="2" t="s">
        <v>19</v>
      </c>
      <c r="D189" s="3">
        <v>43465</v>
      </c>
      <c r="E189" s="2">
        <v>409.33971600000001</v>
      </c>
      <c r="F189" s="2">
        <v>12256860737.82</v>
      </c>
      <c r="G189" s="2">
        <v>-1.2305213724628601</v>
      </c>
      <c r="H189" s="2"/>
      <c r="I189" s="2"/>
    </row>
    <row r="190" spans="3:9" x14ac:dyDescent="0.35">
      <c r="C190" s="2" t="s">
        <v>19</v>
      </c>
      <c r="D190" s="3">
        <v>43098</v>
      </c>
      <c r="E190" s="2">
        <v>431.19766199999998</v>
      </c>
      <c r="F190" s="2">
        <v>13332794452.5299</v>
      </c>
      <c r="G190" s="2">
        <v>53.022746402549501</v>
      </c>
      <c r="H190" s="2"/>
      <c r="I190" s="2"/>
    </row>
    <row r="191" spans="3:9" x14ac:dyDescent="0.35">
      <c r="C191" s="2" t="s">
        <v>19</v>
      </c>
      <c r="D191" s="3">
        <v>42734</v>
      </c>
      <c r="E191" s="2">
        <v>292.03540579999998</v>
      </c>
      <c r="F191" s="2">
        <v>9349139360.1289291</v>
      </c>
      <c r="G191" s="2">
        <v>-24.4860503537918</v>
      </c>
      <c r="H191" s="2"/>
      <c r="I191" s="2"/>
    </row>
    <row r="192" spans="3:9" x14ac:dyDescent="0.35">
      <c r="C192" s="2" t="s">
        <v>20</v>
      </c>
      <c r="D192" s="3">
        <v>46022</v>
      </c>
      <c r="E192">
        <v>651.79999999999995</v>
      </c>
      <c r="F192">
        <v>52174283944.636002</v>
      </c>
      <c r="G192">
        <v>70.989433871139198</v>
      </c>
      <c r="H192" s="2"/>
      <c r="I192" s="2"/>
    </row>
    <row r="193" spans="3:9" x14ac:dyDescent="0.35">
      <c r="C193" s="2" t="s">
        <v>20</v>
      </c>
      <c r="D193" s="3">
        <v>45657</v>
      </c>
      <c r="E193">
        <v>402.1</v>
      </c>
      <c r="F193">
        <v>32386803856.963902</v>
      </c>
      <c r="G193" s="2">
        <v>95.563282340217995</v>
      </c>
      <c r="H193" s="2"/>
      <c r="I193" s="2"/>
    </row>
    <row r="194" spans="3:9" x14ac:dyDescent="0.35">
      <c r="C194" s="2" t="s">
        <v>20</v>
      </c>
      <c r="D194" s="3">
        <v>45289</v>
      </c>
      <c r="E194">
        <v>219.4</v>
      </c>
      <c r="F194">
        <v>19317210598.903999</v>
      </c>
      <c r="G194" s="2">
        <v>-12.101541140287701</v>
      </c>
      <c r="H194" s="2"/>
      <c r="I194" s="2"/>
    </row>
    <row r="195" spans="3:9" x14ac:dyDescent="0.35">
      <c r="C195" s="2" t="s">
        <v>20</v>
      </c>
      <c r="D195" s="3">
        <v>44925</v>
      </c>
      <c r="E195">
        <v>265.2</v>
      </c>
      <c r="F195">
        <v>25650178049.027901</v>
      </c>
      <c r="G195" s="2">
        <v>22.737026155056601</v>
      </c>
      <c r="H195" s="2"/>
      <c r="I195" s="2"/>
    </row>
    <row r="196" spans="3:9" x14ac:dyDescent="0.35">
      <c r="C196" s="2" t="s">
        <v>20</v>
      </c>
      <c r="D196" s="3">
        <v>44561</v>
      </c>
      <c r="E196">
        <v>226.78636470870001</v>
      </c>
      <c r="F196">
        <v>25468618382.356998</v>
      </c>
      <c r="G196" s="2">
        <v>38.625814414882498</v>
      </c>
      <c r="H196" s="2"/>
      <c r="I196" s="2"/>
    </row>
    <row r="197" spans="3:9" x14ac:dyDescent="0.35">
      <c r="C197" s="2" t="s">
        <v>20</v>
      </c>
      <c r="D197" s="3">
        <v>44196</v>
      </c>
      <c r="E197">
        <v>168.45695189809999</v>
      </c>
      <c r="F197">
        <v>20334545922.190498</v>
      </c>
      <c r="G197" s="2">
        <v>-30.2330420312834</v>
      </c>
      <c r="H197" s="2"/>
      <c r="I197" s="2"/>
    </row>
    <row r="198" spans="3:9" x14ac:dyDescent="0.35">
      <c r="C198" s="2" t="s">
        <v>20</v>
      </c>
      <c r="D198" s="3">
        <v>43830</v>
      </c>
      <c r="E198">
        <v>241.45663907619999</v>
      </c>
      <c r="F198">
        <v>29061663788.375999</v>
      </c>
      <c r="G198" s="2">
        <v>24.560086158475301</v>
      </c>
      <c r="H198" s="2"/>
      <c r="I198" s="2"/>
    </row>
    <row r="199" spans="3:9" x14ac:dyDescent="0.35">
      <c r="C199" s="2" t="s">
        <v>20</v>
      </c>
      <c r="D199" s="3">
        <v>43465</v>
      </c>
      <c r="E199">
        <v>198.7864211166</v>
      </c>
      <c r="F199">
        <v>26109327680.765999</v>
      </c>
      <c r="G199" s="2">
        <v>-21.412473956936601</v>
      </c>
      <c r="H199" s="2"/>
      <c r="I199" s="2"/>
    </row>
    <row r="200" spans="3:9" x14ac:dyDescent="0.35">
      <c r="C200" s="2" t="s">
        <v>20</v>
      </c>
      <c r="D200" s="3">
        <v>43098</v>
      </c>
      <c r="E200" s="2">
        <v>255.019035858</v>
      </c>
      <c r="F200" s="2">
        <v>33261489457.34</v>
      </c>
      <c r="G200" s="2">
        <v>23.7756010697317</v>
      </c>
      <c r="H200" s="2"/>
      <c r="I200" s="2"/>
    </row>
    <row r="201" spans="3:9" x14ac:dyDescent="0.35">
      <c r="C201" s="2" t="s">
        <v>20</v>
      </c>
      <c r="D201" s="3">
        <v>42734</v>
      </c>
      <c r="E201">
        <v>206.03336494140001</v>
      </c>
      <c r="F201">
        <v>26554824511.263901</v>
      </c>
      <c r="G201" s="2">
        <v>-25.629139072237599</v>
      </c>
      <c r="H201" s="2"/>
      <c r="I201" s="2"/>
    </row>
    <row r="202" spans="3:9" x14ac:dyDescent="0.35">
      <c r="C202" s="2" t="s">
        <v>21</v>
      </c>
      <c r="D202" s="3">
        <v>46022</v>
      </c>
      <c r="E202" s="2">
        <v>2488</v>
      </c>
      <c r="F202" s="2">
        <v>6145510275.1999998</v>
      </c>
      <c r="G202" s="2">
        <v>38.893721039521097</v>
      </c>
      <c r="H202" s="2"/>
      <c r="I202" s="2"/>
    </row>
    <row r="203" spans="3:9" x14ac:dyDescent="0.35">
      <c r="C203" s="2" t="s">
        <v>21</v>
      </c>
      <c r="D203" s="3">
        <v>45657</v>
      </c>
      <c r="E203" s="2">
        <v>1821</v>
      </c>
      <c r="F203" s="2">
        <v>4663334436.6000004</v>
      </c>
      <c r="G203" s="2">
        <v>9.9094426209524595</v>
      </c>
      <c r="H203" s="2"/>
      <c r="I203" s="2"/>
    </row>
    <row r="204" spans="3:9" x14ac:dyDescent="0.35">
      <c r="C204" s="2" t="s">
        <v>21</v>
      </c>
      <c r="D204" s="3">
        <v>45289</v>
      </c>
      <c r="E204" s="2">
        <v>1684</v>
      </c>
      <c r="F204" s="2">
        <v>4403056033.3999996</v>
      </c>
      <c r="G204" s="2">
        <v>33.106938419296299</v>
      </c>
      <c r="H204" s="2"/>
      <c r="I204" s="2"/>
    </row>
    <row r="205" spans="3:9" x14ac:dyDescent="0.35">
      <c r="C205" s="2" t="s">
        <v>21</v>
      </c>
      <c r="D205" s="3">
        <v>44925</v>
      </c>
      <c r="E205" s="2">
        <v>1288</v>
      </c>
      <c r="F205" s="2">
        <v>3359082129.7600002</v>
      </c>
      <c r="G205" s="2">
        <v>-24.4075544645885</v>
      </c>
      <c r="H205" s="2"/>
      <c r="I205" s="2"/>
    </row>
    <row r="206" spans="3:9" x14ac:dyDescent="0.35">
      <c r="C206" s="2" t="s">
        <v>21</v>
      </c>
      <c r="D206" s="3">
        <v>44561</v>
      </c>
      <c r="E206" s="2">
        <v>1736</v>
      </c>
      <c r="F206" s="2">
        <v>4525332842.8000002</v>
      </c>
      <c r="G206" s="2">
        <v>51.3675246472312</v>
      </c>
      <c r="H206" s="2"/>
      <c r="I206" s="2"/>
    </row>
    <row r="207" spans="3:9" x14ac:dyDescent="0.35">
      <c r="C207" s="2" t="s">
        <v>21</v>
      </c>
      <c r="D207" s="3">
        <v>44196</v>
      </c>
      <c r="E207">
        <v>1165</v>
      </c>
      <c r="F207">
        <v>3171419327.74999</v>
      </c>
      <c r="G207" s="2">
        <v>2.05499024186402</v>
      </c>
      <c r="H207" s="2"/>
      <c r="I207" s="2"/>
    </row>
    <row r="208" spans="3:9" x14ac:dyDescent="0.35">
      <c r="C208" s="2" t="s">
        <v>21</v>
      </c>
      <c r="D208" s="3">
        <v>43830</v>
      </c>
      <c r="E208">
        <v>1179</v>
      </c>
      <c r="F208">
        <v>3209299697.0700002</v>
      </c>
      <c r="G208" s="2">
        <v>30.1601537406329</v>
      </c>
      <c r="H208" s="2"/>
      <c r="I208" s="2"/>
    </row>
    <row r="209" spans="3:9" x14ac:dyDescent="0.35">
      <c r="C209" s="2" t="s">
        <v>21</v>
      </c>
      <c r="D209" s="3">
        <v>43465</v>
      </c>
      <c r="E209">
        <v>944</v>
      </c>
      <c r="F209">
        <v>2568632835.8400002</v>
      </c>
      <c r="G209" s="2">
        <v>-26.556043771022502</v>
      </c>
      <c r="H209" s="2"/>
      <c r="I209" s="2"/>
    </row>
    <row r="210" spans="3:9" x14ac:dyDescent="0.35">
      <c r="C210" s="2" t="s">
        <v>21</v>
      </c>
      <c r="D210" s="3">
        <v>43098</v>
      </c>
      <c r="E210">
        <v>1333</v>
      </c>
      <c r="F210">
        <v>3626223790.6900001</v>
      </c>
      <c r="G210" s="2">
        <v>32.4455475110625</v>
      </c>
      <c r="H210" s="2"/>
      <c r="I210" s="2"/>
    </row>
    <row r="211" spans="3:9" x14ac:dyDescent="0.35">
      <c r="C211" s="2" t="s">
        <v>21</v>
      </c>
      <c r="D211" s="3">
        <v>42734</v>
      </c>
      <c r="E211" s="2">
        <v>1040</v>
      </c>
      <c r="F211" s="2">
        <v>2828521529.5999999</v>
      </c>
      <c r="G211" s="2">
        <v>25.584005932373799</v>
      </c>
      <c r="H211" s="2"/>
    </row>
    <row r="212" spans="3:9" x14ac:dyDescent="0.35">
      <c r="C212" s="2" t="s">
        <v>22</v>
      </c>
      <c r="D212" s="3">
        <v>46022</v>
      </c>
      <c r="E212">
        <v>1822</v>
      </c>
      <c r="F212">
        <v>41231920745.480003</v>
      </c>
      <c r="G212">
        <v>88.983962844533806</v>
      </c>
      <c r="H212" s="2"/>
      <c r="I212" s="2"/>
    </row>
    <row r="213" spans="3:9" x14ac:dyDescent="0.35">
      <c r="C213" s="2" t="s">
        <v>22</v>
      </c>
      <c r="D213" s="3">
        <v>45657</v>
      </c>
      <c r="E213">
        <v>988.6</v>
      </c>
      <c r="F213">
        <v>23978766160.066002</v>
      </c>
      <c r="G213" s="2">
        <v>53.495836490886703</v>
      </c>
      <c r="H213" s="2"/>
      <c r="I213" s="2"/>
    </row>
    <row r="214" spans="3:9" x14ac:dyDescent="0.35">
      <c r="C214" s="2" t="s">
        <v>22</v>
      </c>
      <c r="D214" s="3">
        <v>45289</v>
      </c>
      <c r="E214">
        <v>666.6</v>
      </c>
      <c r="F214">
        <v>17765267035.625999</v>
      </c>
      <c r="G214" s="2">
        <v>9.4168276763454397</v>
      </c>
      <c r="H214" s="2"/>
      <c r="I214" s="2"/>
    </row>
    <row r="215" spans="3:9" x14ac:dyDescent="0.35">
      <c r="C215" s="2" t="s">
        <v>22</v>
      </c>
      <c r="D215" s="3">
        <v>44925</v>
      </c>
      <c r="E215">
        <v>622.4</v>
      </c>
      <c r="F215">
        <v>18016923097.52</v>
      </c>
      <c r="G215" s="2">
        <v>41.387377267041998</v>
      </c>
      <c r="H215" s="2"/>
      <c r="I215" s="2"/>
    </row>
    <row r="216" spans="3:9" x14ac:dyDescent="0.35">
      <c r="C216" s="2" t="s">
        <v>22</v>
      </c>
      <c r="D216" s="3">
        <v>44561</v>
      </c>
      <c r="E216">
        <v>448.4</v>
      </c>
      <c r="F216">
        <v>13806770044.4</v>
      </c>
      <c r="G216" s="2">
        <v>-1.9906199145768699</v>
      </c>
      <c r="H216" s="2"/>
      <c r="I216" s="2"/>
    </row>
    <row r="217" spans="3:9" x14ac:dyDescent="0.35">
      <c r="C217" s="2" t="s">
        <v>22</v>
      </c>
      <c r="D217" s="3">
        <v>44196</v>
      </c>
      <c r="E217" s="2">
        <v>465.9</v>
      </c>
      <c r="F217" s="2">
        <v>14704653158.658001</v>
      </c>
      <c r="G217" s="2">
        <v>-34.601347557624798</v>
      </c>
      <c r="H217" s="2"/>
      <c r="I217" s="2"/>
    </row>
    <row r="218" spans="3:9" x14ac:dyDescent="0.35">
      <c r="C218" s="2" t="s">
        <v>22</v>
      </c>
      <c r="D218" s="3">
        <v>43830</v>
      </c>
      <c r="E218" s="2">
        <v>712.4</v>
      </c>
      <c r="F218" s="2">
        <v>22769813198.028</v>
      </c>
      <c r="G218" s="2">
        <v>20.170467760311499</v>
      </c>
      <c r="H218" s="2"/>
      <c r="I218" s="2"/>
    </row>
    <row r="219" spans="3:9" x14ac:dyDescent="0.35">
      <c r="C219" s="2" t="s">
        <v>22</v>
      </c>
      <c r="D219" s="3">
        <v>43465</v>
      </c>
      <c r="E219" s="2">
        <v>609.29999999999995</v>
      </c>
      <c r="F219" s="2">
        <v>20161412572.122002</v>
      </c>
      <c r="G219" s="2">
        <v>-20.562538532841799</v>
      </c>
      <c r="H219" s="2"/>
      <c r="I219" s="2"/>
    </row>
    <row r="220" spans="3:9" x14ac:dyDescent="0.35">
      <c r="C220" s="2" t="s">
        <v>22</v>
      </c>
      <c r="D220" s="3">
        <v>43098</v>
      </c>
      <c r="E220" s="2">
        <v>780.1</v>
      </c>
      <c r="F220" s="2">
        <v>25714612977.047901</v>
      </c>
      <c r="G220" s="2">
        <v>17.555756479362</v>
      </c>
      <c r="H220" s="2"/>
      <c r="I220" s="2"/>
    </row>
    <row r="221" spans="3:9" x14ac:dyDescent="0.35">
      <c r="C221" s="2" t="s">
        <v>22</v>
      </c>
      <c r="D221" s="3">
        <v>42734</v>
      </c>
      <c r="E221" s="2">
        <v>663.6</v>
      </c>
      <c r="F221" s="2">
        <v>21792669124.799999</v>
      </c>
      <c r="G221" s="2">
        <v>17.722192655594199</v>
      </c>
      <c r="H221" s="2"/>
      <c r="I221" s="2"/>
    </row>
    <row r="222" spans="3:9" x14ac:dyDescent="0.35">
      <c r="C222" s="2" t="s">
        <v>23</v>
      </c>
      <c r="D222" s="3">
        <v>46022</v>
      </c>
      <c r="E222" s="2">
        <v>3020</v>
      </c>
      <c r="F222" s="2">
        <v>55082999325</v>
      </c>
      <c r="G222" s="2">
        <v>-15.407182695074599</v>
      </c>
      <c r="H222" s="2"/>
      <c r="I222" s="2"/>
    </row>
    <row r="223" spans="3:9" x14ac:dyDescent="0.35">
      <c r="C223" s="2" t="s">
        <v>23</v>
      </c>
      <c r="D223" s="3">
        <v>45657</v>
      </c>
      <c r="E223">
        <v>3629</v>
      </c>
      <c r="F223">
        <v>67543831371.179901</v>
      </c>
      <c r="G223" s="2">
        <v>18.772449521374298</v>
      </c>
      <c r="H223" s="2"/>
      <c r="I223" s="2"/>
    </row>
    <row r="224" spans="3:9" x14ac:dyDescent="0.35">
      <c r="C224" s="2" t="s">
        <v>23</v>
      </c>
      <c r="D224" s="3">
        <v>45289</v>
      </c>
      <c r="E224">
        <v>3110</v>
      </c>
      <c r="F224">
        <v>58687064232.599998</v>
      </c>
      <c r="G224" s="2">
        <v>38.852970262030901</v>
      </c>
      <c r="H224" s="2"/>
      <c r="I224" s="2"/>
    </row>
    <row r="225" spans="3:9" x14ac:dyDescent="0.35">
      <c r="C225" s="2" t="s">
        <v>23</v>
      </c>
      <c r="D225" s="3">
        <v>44925</v>
      </c>
      <c r="E225">
        <v>2288</v>
      </c>
      <c r="F225">
        <v>43816777530.239899</v>
      </c>
      <c r="G225" s="2">
        <v>-2.7240705549057602</v>
      </c>
      <c r="H225" s="2"/>
      <c r="I225" s="2"/>
    </row>
    <row r="226" spans="3:9" x14ac:dyDescent="0.35">
      <c r="C226" s="2" t="s">
        <v>23</v>
      </c>
      <c r="D226" s="3">
        <v>44561</v>
      </c>
      <c r="E226">
        <v>2402</v>
      </c>
      <c r="F226">
        <v>46472421196.019897</v>
      </c>
      <c r="G226" s="2">
        <v>37.294895963202102</v>
      </c>
      <c r="H226" s="2"/>
      <c r="I226" s="2"/>
    </row>
    <row r="227" spans="3:9" x14ac:dyDescent="0.35">
      <c r="C227" s="2" t="s">
        <v>23</v>
      </c>
      <c r="D227" s="3">
        <v>44196</v>
      </c>
      <c r="E227">
        <v>1792.5</v>
      </c>
      <c r="F227">
        <v>34633011468.224998</v>
      </c>
      <c r="G227" s="2">
        <v>-3.3985420600137202</v>
      </c>
      <c r="H227" s="2"/>
      <c r="I227" s="2"/>
    </row>
    <row r="228" spans="3:9" x14ac:dyDescent="0.35">
      <c r="C228" s="2" t="s">
        <v>23</v>
      </c>
      <c r="D228" s="3">
        <v>43830</v>
      </c>
      <c r="E228">
        <v>1905.5</v>
      </c>
      <c r="F228">
        <v>36936959432.375</v>
      </c>
      <c r="G228" s="2">
        <v>20.7615809418499</v>
      </c>
      <c r="H228" s="2"/>
      <c r="I228" s="2"/>
    </row>
    <row r="229" spans="3:9" x14ac:dyDescent="0.35">
      <c r="C229" s="2" t="s">
        <v>23</v>
      </c>
      <c r="D229" s="3">
        <v>43465</v>
      </c>
      <c r="E229">
        <v>1616.5</v>
      </c>
      <c r="F229">
        <v>31826646066.674999</v>
      </c>
      <c r="G229" s="2">
        <v>-4.6621948203097601</v>
      </c>
      <c r="H229" s="2"/>
      <c r="I229" s="2"/>
    </row>
    <row r="230" spans="3:9" x14ac:dyDescent="0.35">
      <c r="C230" s="2" t="s">
        <v>23</v>
      </c>
      <c r="D230" s="3">
        <v>43098</v>
      </c>
      <c r="E230">
        <v>1739</v>
      </c>
      <c r="F230">
        <v>35796783208.901901</v>
      </c>
      <c r="G230" s="2">
        <v>22.829003948352799</v>
      </c>
      <c r="H230" s="2"/>
      <c r="I230" s="2"/>
    </row>
    <row r="231" spans="3:9" x14ac:dyDescent="0.35">
      <c r="C231" s="2" t="s">
        <v>23</v>
      </c>
      <c r="D231" s="3">
        <v>42734</v>
      </c>
      <c r="E231">
        <v>1449</v>
      </c>
      <c r="F231">
        <v>29573451665.022099</v>
      </c>
      <c r="G231" s="2">
        <v>24.163627383788199</v>
      </c>
      <c r="H231" s="2"/>
      <c r="I231" s="2"/>
    </row>
    <row r="232" spans="3:9" x14ac:dyDescent="0.35">
      <c r="C232" s="2" t="s">
        <v>24</v>
      </c>
      <c r="D232" s="3">
        <v>46022</v>
      </c>
      <c r="E232" s="2">
        <v>2740</v>
      </c>
      <c r="F232" s="2">
        <v>156679720049.20001</v>
      </c>
      <c r="G232" s="2">
        <v>15.2331128506873</v>
      </c>
      <c r="H232" s="2"/>
      <c r="I232" s="2"/>
    </row>
    <row r="233" spans="3:9" x14ac:dyDescent="0.35">
      <c r="C233" s="2" t="s">
        <v>24</v>
      </c>
      <c r="D233" s="3">
        <v>45657</v>
      </c>
      <c r="E233" s="2">
        <v>2476</v>
      </c>
      <c r="F233" s="2">
        <v>151408171472.07901</v>
      </c>
      <c r="G233" s="2">
        <v>0.23922811619097001</v>
      </c>
      <c r="H233" s="2"/>
    </row>
    <row r="234" spans="3:9" x14ac:dyDescent="0.35">
      <c r="C234" s="2" t="s">
        <v>24</v>
      </c>
      <c r="D234" s="3">
        <v>45289</v>
      </c>
      <c r="E234" s="2">
        <v>2571.5</v>
      </c>
      <c r="F234" s="2">
        <v>167708782822.18399</v>
      </c>
      <c r="G234" s="2">
        <v>15.038754467033201</v>
      </c>
      <c r="H234" s="2"/>
      <c r="I234" s="2"/>
    </row>
    <row r="235" spans="3:9" x14ac:dyDescent="0.35">
      <c r="C235" s="2" t="s">
        <v>24</v>
      </c>
      <c r="D235" s="3">
        <v>44925</v>
      </c>
      <c r="E235" s="2">
        <v>2326</v>
      </c>
      <c r="F235" s="2">
        <v>162817100338.62</v>
      </c>
      <c r="G235" s="2">
        <v>48.731190350043398</v>
      </c>
      <c r="H235" s="2"/>
      <c r="I235" s="2"/>
    </row>
    <row r="236" spans="3:9" x14ac:dyDescent="0.35">
      <c r="C236" s="2" t="s">
        <v>24</v>
      </c>
      <c r="D236" s="3">
        <v>44561</v>
      </c>
      <c r="E236" s="2">
        <v>1621.8</v>
      </c>
      <c r="F236" s="2">
        <v>124673811294.25999</v>
      </c>
      <c r="G236" s="2">
        <v>30.059642329038901</v>
      </c>
      <c r="H236" s="2"/>
      <c r="I236" s="2"/>
    </row>
    <row r="237" spans="3:9" x14ac:dyDescent="0.35">
      <c r="C237" s="2" t="s">
        <v>24</v>
      </c>
      <c r="D237" s="3">
        <v>44196</v>
      </c>
      <c r="E237" s="2">
        <v>1297.8</v>
      </c>
      <c r="F237" s="2">
        <v>100211386243.59599</v>
      </c>
      <c r="G237" s="2">
        <v>-39.026714112795901</v>
      </c>
      <c r="H237" s="2"/>
      <c r="I237" s="2"/>
    </row>
    <row r="238" spans="3:9" x14ac:dyDescent="0.35">
      <c r="C238" s="2" t="s">
        <v>24</v>
      </c>
      <c r="D238" s="3">
        <v>43830</v>
      </c>
      <c r="E238" s="2">
        <v>2235</v>
      </c>
      <c r="F238" s="2">
        <v>175332910015.47101</v>
      </c>
      <c r="G238" s="2">
        <v>3.0590264158609499</v>
      </c>
      <c r="H238" s="2"/>
      <c r="I238" s="2"/>
    </row>
    <row r="239" spans="3:9" x14ac:dyDescent="0.35">
      <c r="C239" s="2" t="s">
        <v>24</v>
      </c>
      <c r="D239" s="3">
        <v>43465</v>
      </c>
      <c r="E239" s="2">
        <v>2307.5</v>
      </c>
      <c r="F239" s="2">
        <v>190803367034.71301</v>
      </c>
      <c r="G239" s="2">
        <v>-1.4547528183577201</v>
      </c>
      <c r="H239" s="2"/>
      <c r="I239" s="2"/>
    </row>
    <row r="240" spans="3:9" x14ac:dyDescent="0.35">
      <c r="C240" s="2" t="s">
        <v>24</v>
      </c>
      <c r="D240" s="3">
        <v>43098</v>
      </c>
      <c r="E240" s="2">
        <v>2480</v>
      </c>
      <c r="F240" s="2">
        <v>207355653557.005</v>
      </c>
      <c r="G240" s="2">
        <v>18.150397520204201</v>
      </c>
      <c r="H240" s="2"/>
      <c r="I240" s="2"/>
    </row>
    <row r="241" spans="3:9" x14ac:dyDescent="0.35">
      <c r="C241" s="2" t="s">
        <v>24</v>
      </c>
      <c r="D241" s="3">
        <v>42734</v>
      </c>
      <c r="E241" s="2">
        <v>2242.5</v>
      </c>
      <c r="F241" s="2">
        <v>186247560804.19901</v>
      </c>
      <c r="G241" s="2">
        <v>58.697897747325101</v>
      </c>
      <c r="H241" s="2"/>
      <c r="I241" s="2"/>
    </row>
    <row r="242" spans="3:9" x14ac:dyDescent="0.35">
      <c r="C242" s="2" t="s">
        <v>25</v>
      </c>
      <c r="D242" s="3">
        <v>46022</v>
      </c>
      <c r="E242" s="2">
        <v>184.05</v>
      </c>
      <c r="F242" s="2">
        <v>18345339362.434502</v>
      </c>
      <c r="G242" s="2">
        <v>33.105309695045399</v>
      </c>
      <c r="H242" s="2"/>
      <c r="I242" s="2"/>
    </row>
    <row r="243" spans="3:9" x14ac:dyDescent="0.35">
      <c r="C243" s="2" t="s">
        <v>25</v>
      </c>
      <c r="D243" s="3">
        <v>45657</v>
      </c>
      <c r="E243">
        <v>144.05000000000001</v>
      </c>
      <c r="F243">
        <v>14342824077.3515</v>
      </c>
      <c r="G243" s="2">
        <v>23.655955981984299</v>
      </c>
      <c r="H243" s="2"/>
      <c r="I243" s="2"/>
    </row>
    <row r="244" spans="3:9" x14ac:dyDescent="0.35">
      <c r="C244" s="2" t="s">
        <v>25</v>
      </c>
      <c r="D244" s="3">
        <v>45289</v>
      </c>
      <c r="E244" s="2">
        <v>123.6</v>
      </c>
      <c r="F244" s="2">
        <v>12295169051.136</v>
      </c>
      <c r="G244" s="2">
        <v>17.696131421903399</v>
      </c>
      <c r="H244" s="2"/>
    </row>
    <row r="245" spans="3:9" x14ac:dyDescent="0.35">
      <c r="C245" s="2" t="s">
        <v>25</v>
      </c>
      <c r="D245" s="3">
        <v>44925</v>
      </c>
      <c r="E245">
        <v>112.05</v>
      </c>
      <c r="F245">
        <v>11127518599.284</v>
      </c>
      <c r="G245" s="2">
        <v>-30.261939436983699</v>
      </c>
      <c r="H245" s="2"/>
      <c r="I245" s="2"/>
    </row>
    <row r="246" spans="3:9" x14ac:dyDescent="0.35">
      <c r="C246" s="2" t="s">
        <v>25</v>
      </c>
      <c r="D246" s="3">
        <v>44561</v>
      </c>
      <c r="E246">
        <v>169.55</v>
      </c>
      <c r="F246">
        <v>16818837941.985901</v>
      </c>
      <c r="G246" s="2">
        <v>29.966965973808399</v>
      </c>
      <c r="H246" s="2"/>
      <c r="I246" s="2"/>
    </row>
    <row r="247" spans="3:9" x14ac:dyDescent="0.35">
      <c r="C247" s="2" t="s">
        <v>25</v>
      </c>
      <c r="D247" s="3">
        <v>44196</v>
      </c>
      <c r="E247">
        <v>132.25</v>
      </c>
      <c r="F247">
        <v>13115297615.9324</v>
      </c>
      <c r="G247" s="2">
        <v>-31.277281230323599</v>
      </c>
      <c r="H247" s="2"/>
      <c r="I247" s="2"/>
    </row>
    <row r="248" spans="3:9" x14ac:dyDescent="0.35">
      <c r="C248" s="2" t="s">
        <v>25</v>
      </c>
      <c r="D248" s="3">
        <v>43830</v>
      </c>
      <c r="E248">
        <v>192.44</v>
      </c>
      <c r="F248">
        <v>19017297701.4375</v>
      </c>
      <c r="G248" s="2">
        <v>-12.1333539624381</v>
      </c>
      <c r="H248" s="2"/>
      <c r="I248" s="2"/>
    </row>
    <row r="249" spans="3:9" x14ac:dyDescent="0.35">
      <c r="C249" s="2" t="s">
        <v>25</v>
      </c>
      <c r="D249" s="3">
        <v>43465</v>
      </c>
      <c r="E249">
        <v>238.1</v>
      </c>
      <c r="F249">
        <v>23626171433.026001</v>
      </c>
      <c r="G249" s="2">
        <v>-6.5155367538022197</v>
      </c>
      <c r="H249" s="2"/>
      <c r="I249" s="2"/>
    </row>
    <row r="250" spans="3:9" x14ac:dyDescent="0.35">
      <c r="C250" s="2" t="s">
        <v>25</v>
      </c>
      <c r="D250" s="3">
        <v>43098</v>
      </c>
      <c r="E250">
        <v>271.7</v>
      </c>
      <c r="F250">
        <v>26957604097.567001</v>
      </c>
      <c r="G250" s="2">
        <v>-21.9425371406832</v>
      </c>
      <c r="H250" s="2"/>
      <c r="I250" s="2"/>
    </row>
    <row r="251" spans="3:9" x14ac:dyDescent="0.35">
      <c r="C251" s="2" t="s">
        <v>25</v>
      </c>
      <c r="D251" s="3">
        <v>42734</v>
      </c>
      <c r="E251">
        <v>366.9</v>
      </c>
      <c r="F251">
        <v>36538714123.394997</v>
      </c>
      <c r="G251" s="2">
        <v>-19.306038600805199</v>
      </c>
      <c r="H251" s="2"/>
      <c r="I251" s="2"/>
    </row>
    <row r="252" spans="3:9" x14ac:dyDescent="0.35">
      <c r="C252" s="2" t="s">
        <v>26</v>
      </c>
      <c r="D252" s="3">
        <v>46022</v>
      </c>
      <c r="E252">
        <v>3334</v>
      </c>
      <c r="F252">
        <v>24568032257.259998</v>
      </c>
      <c r="G252">
        <v>485.48460420924903</v>
      </c>
      <c r="H252" s="2"/>
      <c r="I252" s="2"/>
    </row>
    <row r="253" spans="3:9" x14ac:dyDescent="0.35">
      <c r="C253" s="2" t="s">
        <v>26</v>
      </c>
      <c r="D253" s="3">
        <v>45657</v>
      </c>
      <c r="E253" s="2">
        <v>603.40502749999996</v>
      </c>
      <c r="F253" s="2">
        <v>4579793655.6350002</v>
      </c>
      <c r="G253" s="2">
        <v>6.1278233180648503</v>
      </c>
      <c r="H253" s="2"/>
      <c r="I253" s="2"/>
    </row>
    <row r="254" spans="3:9" x14ac:dyDescent="0.35">
      <c r="C254" s="2" t="s">
        <v>26</v>
      </c>
      <c r="D254" s="3">
        <v>45289</v>
      </c>
      <c r="E254" s="2">
        <v>577.09404400000005</v>
      </c>
      <c r="F254" s="2">
        <v>4380095493.0159998</v>
      </c>
      <c r="G254" s="2">
        <v>-32.973799589021198</v>
      </c>
      <c r="H254" s="2"/>
      <c r="I254" s="2"/>
    </row>
    <row r="255" spans="3:9" x14ac:dyDescent="0.35">
      <c r="C255" s="2" t="s">
        <v>26</v>
      </c>
      <c r="D255" s="3">
        <v>44925</v>
      </c>
      <c r="E255" s="2">
        <v>875.54409299999998</v>
      </c>
      <c r="F255" s="2">
        <v>6645306385.6020002</v>
      </c>
      <c r="G255" s="2">
        <v>3.9286609890578901</v>
      </c>
      <c r="H255" s="2"/>
    </row>
    <row r="256" spans="3:9" x14ac:dyDescent="0.35">
      <c r="C256" s="2" t="s">
        <v>26</v>
      </c>
      <c r="D256" s="3">
        <v>44561</v>
      </c>
      <c r="E256" s="2">
        <v>866.80612799999994</v>
      </c>
      <c r="F256" s="2">
        <v>6578985962.592</v>
      </c>
      <c r="G256" s="2">
        <v>-18.786211454179199</v>
      </c>
      <c r="H256" s="2"/>
      <c r="I256" s="2"/>
    </row>
    <row r="257" spans="3:9" x14ac:dyDescent="0.35">
      <c r="C257" s="2" t="s">
        <v>26</v>
      </c>
      <c r="D257" s="3">
        <v>44196</v>
      </c>
      <c r="E257" s="2">
        <v>1096.6146074999999</v>
      </c>
      <c r="F257" s="2">
        <v>8323213087.7549601</v>
      </c>
      <c r="G257" s="2">
        <v>78.909240339540901</v>
      </c>
      <c r="H257" s="2"/>
      <c r="I257" s="2"/>
    </row>
    <row r="258" spans="3:9" x14ac:dyDescent="0.35">
      <c r="C258" s="2" t="s">
        <v>26</v>
      </c>
      <c r="D258" s="3">
        <v>43830</v>
      </c>
      <c r="E258">
        <v>621.56057699999997</v>
      </c>
      <c r="F258">
        <v>4717592756.7779999</v>
      </c>
      <c r="G258" s="2">
        <v>-24.030634965902198</v>
      </c>
      <c r="H258" s="2"/>
      <c r="I258" s="2"/>
    </row>
    <row r="259" spans="3:9" x14ac:dyDescent="0.35">
      <c r="C259" s="2" t="s">
        <v>26</v>
      </c>
      <c r="D259" s="3">
        <v>43465</v>
      </c>
      <c r="E259">
        <v>834.96109999999999</v>
      </c>
      <c r="F259">
        <v>6337284865.3999996</v>
      </c>
      <c r="G259" s="2">
        <v>-38.275801892558199</v>
      </c>
      <c r="H259" s="2"/>
      <c r="I259" s="2"/>
    </row>
    <row r="260" spans="3:9" x14ac:dyDescent="0.35">
      <c r="C260" s="2" t="s">
        <v>26</v>
      </c>
      <c r="D260" s="3">
        <v>43098</v>
      </c>
      <c r="E260">
        <v>1387.394665</v>
      </c>
      <c r="F260">
        <v>10530209386.809999</v>
      </c>
      <c r="G260" s="2">
        <v>19.013686727995498</v>
      </c>
      <c r="H260" s="2"/>
      <c r="I260" s="2"/>
    </row>
    <row r="261" spans="3:9" x14ac:dyDescent="0.35">
      <c r="C261" s="2" t="s">
        <v>26</v>
      </c>
      <c r="D261" s="3">
        <v>42734</v>
      </c>
      <c r="E261">
        <v>1185.450585</v>
      </c>
      <c r="F261">
        <v>8997470721.6899605</v>
      </c>
      <c r="G261" s="2">
        <v>73.413666155371402</v>
      </c>
      <c r="H261" s="2"/>
      <c r="I261" s="2"/>
    </row>
    <row r="262" spans="3:9" x14ac:dyDescent="0.35">
      <c r="C262" s="2" t="s">
        <v>27</v>
      </c>
      <c r="D262" s="3">
        <v>46022</v>
      </c>
      <c r="E262">
        <v>1269</v>
      </c>
      <c r="F262">
        <v>4580931781.0799999</v>
      </c>
      <c r="G262">
        <v>29.489795918239398</v>
      </c>
      <c r="H262" s="2"/>
      <c r="I262" s="2"/>
    </row>
    <row r="263" spans="3:9" x14ac:dyDescent="0.35">
      <c r="C263" s="2" t="s">
        <v>27</v>
      </c>
      <c r="D263" s="3">
        <v>45657</v>
      </c>
      <c r="E263">
        <v>980</v>
      </c>
      <c r="F263">
        <v>3514119221.1999998</v>
      </c>
      <c r="G263" s="2">
        <v>-27.506646172716199</v>
      </c>
      <c r="H263" s="2"/>
      <c r="I263" s="2"/>
    </row>
    <row r="264" spans="3:9" x14ac:dyDescent="0.35">
      <c r="C264" s="2" t="s">
        <v>27</v>
      </c>
      <c r="D264" s="3">
        <v>45289</v>
      </c>
      <c r="E264">
        <v>1416</v>
      </c>
      <c r="F264">
        <v>5076990204.96</v>
      </c>
      <c r="G264" s="2">
        <v>-27.9280660302428</v>
      </c>
      <c r="H264" s="2"/>
      <c r="I264" s="2"/>
    </row>
    <row r="265" spans="3:9" x14ac:dyDescent="0.35">
      <c r="C265" s="2" t="s">
        <v>27</v>
      </c>
      <c r="D265" s="3">
        <v>44925</v>
      </c>
      <c r="E265">
        <v>2030</v>
      </c>
      <c r="F265">
        <v>7706674724.6999903</v>
      </c>
      <c r="G265" s="2">
        <v>15.011268379896601</v>
      </c>
      <c r="H265" s="2"/>
      <c r="I265" s="2"/>
    </row>
    <row r="266" spans="3:9" x14ac:dyDescent="0.35">
      <c r="C266" s="2" t="s">
        <v>27</v>
      </c>
      <c r="D266" s="3">
        <v>44561</v>
      </c>
      <c r="E266" s="2">
        <v>1817.5</v>
      </c>
      <c r="F266" s="2">
        <v>7313252465.1499996</v>
      </c>
      <c r="G266" s="2">
        <v>4.3640840455421399</v>
      </c>
      <c r="H266" s="2"/>
      <c r="I266" s="2"/>
    </row>
    <row r="267" spans="3:9" x14ac:dyDescent="0.35">
      <c r="C267" s="2" t="s">
        <v>27</v>
      </c>
      <c r="D267" s="3">
        <v>44196</v>
      </c>
      <c r="E267">
        <v>1789.5</v>
      </c>
      <c r="F267">
        <v>7243688113.7849903</v>
      </c>
      <c r="G267" s="2">
        <v>-18.8435374155593</v>
      </c>
      <c r="H267" s="2"/>
      <c r="I267" s="2"/>
    </row>
    <row r="268" spans="3:9" x14ac:dyDescent="0.35">
      <c r="C268" s="2" t="s">
        <v>27</v>
      </c>
      <c r="D268" s="3">
        <v>43830</v>
      </c>
      <c r="E268" s="2">
        <v>2205</v>
      </c>
      <c r="F268" s="2">
        <v>8984602081.3499908</v>
      </c>
      <c r="G268" s="2">
        <v>29.969023641646999</v>
      </c>
      <c r="H268" s="2"/>
      <c r="I268" s="2"/>
    </row>
    <row r="269" spans="3:9" x14ac:dyDescent="0.35">
      <c r="C269" s="2" t="s">
        <v>27</v>
      </c>
      <c r="D269" s="3">
        <v>43465</v>
      </c>
      <c r="E269" s="2">
        <v>1735.5</v>
      </c>
      <c r="F269" s="2">
        <v>7139582683.3500004</v>
      </c>
      <c r="G269" s="2">
        <v>-1.14790053710553</v>
      </c>
      <c r="H269" s="2"/>
      <c r="I269" s="2"/>
    </row>
    <row r="270" spans="3:9" x14ac:dyDescent="0.35">
      <c r="C270" s="2" t="s">
        <v>27</v>
      </c>
      <c r="D270" s="3">
        <v>43098</v>
      </c>
      <c r="E270" s="2">
        <v>1792</v>
      </c>
      <c r="F270" s="2">
        <v>7610746232.3199396</v>
      </c>
      <c r="G270" s="2">
        <v>22.567210197644201</v>
      </c>
      <c r="H270" s="2"/>
      <c r="I270" s="2"/>
    </row>
    <row r="271" spans="3:9" x14ac:dyDescent="0.35">
      <c r="C271" s="2" t="s">
        <v>27</v>
      </c>
      <c r="D271" s="3">
        <v>42734</v>
      </c>
      <c r="E271" s="2">
        <v>1497</v>
      </c>
      <c r="F271" s="2">
        <v>6585452924.5499897</v>
      </c>
      <c r="G271" s="2">
        <v>29.077899153867499</v>
      </c>
      <c r="H271" s="2"/>
      <c r="I271" s="2"/>
    </row>
    <row r="272" spans="3:9" x14ac:dyDescent="0.35">
      <c r="C272" s="2" t="s">
        <v>28</v>
      </c>
      <c r="D272" s="3">
        <v>46022</v>
      </c>
      <c r="E272" s="2">
        <v>1238.5</v>
      </c>
      <c r="F272" s="2">
        <v>10524298716.424999</v>
      </c>
      <c r="G272" s="2">
        <v>28.033086250218201</v>
      </c>
      <c r="H272" s="2"/>
      <c r="I272" s="2"/>
    </row>
    <row r="273" spans="3:9" x14ac:dyDescent="0.35">
      <c r="C273" s="2" t="s">
        <v>28</v>
      </c>
      <c r="D273" s="3">
        <v>45657</v>
      </c>
      <c r="E273">
        <v>991.4</v>
      </c>
      <c r="F273">
        <v>8668679826.3379402</v>
      </c>
      <c r="G273" s="2">
        <v>-5.4502203213830098</v>
      </c>
      <c r="H273" s="2"/>
      <c r="I273" s="2"/>
    </row>
    <row r="274" spans="3:9" x14ac:dyDescent="0.35">
      <c r="C274" s="2" t="s">
        <v>28</v>
      </c>
      <c r="D274" s="3">
        <v>45289</v>
      </c>
      <c r="E274">
        <v>1078.5</v>
      </c>
      <c r="F274">
        <v>9419607017.8649292</v>
      </c>
      <c r="G274" s="2">
        <v>4.3901531208457002E-2</v>
      </c>
      <c r="H274" s="2"/>
      <c r="I274" s="2"/>
    </row>
    <row r="275" spans="3:9" x14ac:dyDescent="0.35">
      <c r="C275" s="2" t="s">
        <v>28</v>
      </c>
      <c r="D275" s="3">
        <v>44925</v>
      </c>
      <c r="E275">
        <v>1109.5</v>
      </c>
      <c r="F275">
        <v>9660368325.5099392</v>
      </c>
      <c r="G275" s="2">
        <v>-11.833066934213401</v>
      </c>
      <c r="H275" s="2"/>
      <c r="I275" s="2"/>
    </row>
    <row r="276" spans="3:9" x14ac:dyDescent="0.35">
      <c r="C276" s="2" t="s">
        <v>28</v>
      </c>
      <c r="D276" s="3">
        <v>44561</v>
      </c>
      <c r="E276">
        <v>1293.5</v>
      </c>
      <c r="F276">
        <v>11379915676.09</v>
      </c>
      <c r="G276" s="2">
        <v>-12.583100231478401</v>
      </c>
      <c r="H276" s="2"/>
      <c r="I276" s="2"/>
    </row>
    <row r="277" spans="3:9" x14ac:dyDescent="0.35">
      <c r="C277" s="2" t="s">
        <v>28</v>
      </c>
      <c r="D277" s="3">
        <v>44196</v>
      </c>
      <c r="E277" s="2">
        <v>1510</v>
      </c>
      <c r="F277" s="2">
        <v>13242318891.1</v>
      </c>
      <c r="G277" s="2">
        <v>-15.8533697341372</v>
      </c>
      <c r="H277" s="2"/>
    </row>
    <row r="278" spans="3:9" x14ac:dyDescent="0.35">
      <c r="C278" s="2" t="s">
        <v>28</v>
      </c>
      <c r="D278" s="3">
        <v>43830</v>
      </c>
      <c r="E278">
        <v>1832.5</v>
      </c>
      <c r="F278">
        <v>16035669166.475</v>
      </c>
      <c r="G278" s="2">
        <v>27.351909199978198</v>
      </c>
      <c r="H278" s="2"/>
      <c r="I278" s="2"/>
    </row>
    <row r="279" spans="3:9" x14ac:dyDescent="0.35">
      <c r="C279" s="2" t="s">
        <v>28</v>
      </c>
      <c r="D279" s="3">
        <v>43465</v>
      </c>
      <c r="E279">
        <v>1464</v>
      </c>
      <c r="F279">
        <v>12821242173.1199</v>
      </c>
      <c r="G279" s="2">
        <v>15.9663698824184</v>
      </c>
      <c r="H279" s="2"/>
      <c r="I279" s="2"/>
    </row>
    <row r="280" spans="3:9" x14ac:dyDescent="0.35">
      <c r="C280" s="2" t="s">
        <v>28</v>
      </c>
      <c r="D280" s="3">
        <v>43098</v>
      </c>
      <c r="E280">
        <v>1288</v>
      </c>
      <c r="F280">
        <v>11266125142.16</v>
      </c>
      <c r="G280" s="2">
        <v>7.4596294936630603</v>
      </c>
      <c r="H280" s="2"/>
      <c r="I280" s="2"/>
    </row>
    <row r="281" spans="3:9" x14ac:dyDescent="0.35">
      <c r="C281" s="2" t="s">
        <v>28</v>
      </c>
      <c r="D281" s="3">
        <v>42734</v>
      </c>
      <c r="E281">
        <v>1221</v>
      </c>
      <c r="F281">
        <v>10693563604.35</v>
      </c>
      <c r="G281" s="2">
        <v>3.0589408241124199</v>
      </c>
      <c r="H281" s="2"/>
      <c r="I281" s="2"/>
    </row>
    <row r="282" spans="3:9" x14ac:dyDescent="0.35">
      <c r="C282" s="2" t="s">
        <v>29</v>
      </c>
      <c r="D282" s="3">
        <v>46022</v>
      </c>
      <c r="E282">
        <v>3279</v>
      </c>
      <c r="F282">
        <v>32326241029.049999</v>
      </c>
      <c r="G282">
        <v>109.78106523839099</v>
      </c>
      <c r="H282" s="2"/>
      <c r="I282" s="2"/>
    </row>
    <row r="283" spans="3:9" x14ac:dyDescent="0.35">
      <c r="C283" s="2" t="s">
        <v>29</v>
      </c>
      <c r="D283" s="3">
        <v>45657</v>
      </c>
      <c r="E283" s="2">
        <v>1590</v>
      </c>
      <c r="F283" s="2">
        <v>15675121450.5</v>
      </c>
      <c r="G283" s="2">
        <v>-4.1726873916469298</v>
      </c>
      <c r="H283" s="2"/>
      <c r="I283" s="2"/>
    </row>
    <row r="284" spans="3:9" x14ac:dyDescent="0.35">
      <c r="C284" s="2" t="s">
        <v>29</v>
      </c>
      <c r="D284" s="3">
        <v>45289</v>
      </c>
      <c r="E284" s="2">
        <v>1679.5</v>
      </c>
      <c r="F284" s="2">
        <v>16557463192.525</v>
      </c>
      <c r="G284" s="2">
        <v>12.181538798907599</v>
      </c>
      <c r="H284" s="2"/>
      <c r="I284" s="2"/>
    </row>
    <row r="285" spans="3:9" x14ac:dyDescent="0.35">
      <c r="C285" s="2" t="s">
        <v>29</v>
      </c>
      <c r="D285" s="3">
        <v>44925</v>
      </c>
      <c r="E285" s="2">
        <v>1545.5</v>
      </c>
      <c r="F285" s="2">
        <v>15236415221.225</v>
      </c>
      <c r="G285" s="2">
        <v>23.5956041524305</v>
      </c>
      <c r="H285" s="2"/>
      <c r="I285" s="2"/>
    </row>
    <row r="286" spans="3:9" x14ac:dyDescent="0.35">
      <c r="C286" s="2" t="s">
        <v>29</v>
      </c>
      <c r="D286" s="3">
        <v>44561</v>
      </c>
      <c r="E286" s="2">
        <v>1338.5</v>
      </c>
      <c r="F286" s="2">
        <v>13195691862.575001</v>
      </c>
      <c r="G286" s="2">
        <v>-4.1599215531876697</v>
      </c>
      <c r="H286" s="2"/>
      <c r="I286" s="2"/>
    </row>
    <row r="287" spans="3:9" x14ac:dyDescent="0.35">
      <c r="C287" s="2" t="s">
        <v>29</v>
      </c>
      <c r="D287" s="3">
        <v>44196</v>
      </c>
      <c r="E287" s="2">
        <v>1440.5</v>
      </c>
      <c r="F287" s="2">
        <v>14201265691.474899</v>
      </c>
      <c r="G287" s="2">
        <v>58.983221096256401</v>
      </c>
      <c r="H287" s="2"/>
      <c r="I287" s="2"/>
    </row>
    <row r="288" spans="3:9" x14ac:dyDescent="0.35">
      <c r="C288" s="2" t="s">
        <v>29</v>
      </c>
      <c r="D288" s="3">
        <v>43830</v>
      </c>
      <c r="E288" s="2">
        <v>916.8</v>
      </c>
      <c r="F288" s="2">
        <v>9038334179.7599506</v>
      </c>
      <c r="G288" s="2">
        <v>21.8024342925874</v>
      </c>
      <c r="H288" s="2"/>
      <c r="I288" s="2"/>
    </row>
    <row r="289" spans="3:9" x14ac:dyDescent="0.35">
      <c r="C289" s="2" t="s">
        <v>29</v>
      </c>
      <c r="D289" s="3">
        <v>43465</v>
      </c>
      <c r="E289">
        <v>783.2</v>
      </c>
      <c r="F289">
        <v>7721229635.2399998</v>
      </c>
      <c r="G289" s="2">
        <v>-19.086633224225501</v>
      </c>
      <c r="H289" s="2"/>
      <c r="I289" s="2"/>
    </row>
    <row r="290" spans="3:9" x14ac:dyDescent="0.35">
      <c r="C290" s="2" t="s">
        <v>29</v>
      </c>
      <c r="D290" s="3">
        <v>43098</v>
      </c>
      <c r="E290">
        <v>1005</v>
      </c>
      <c r="F290">
        <v>9907859784.7499294</v>
      </c>
      <c r="G290" s="2">
        <v>52.158117488448397</v>
      </c>
      <c r="H290" s="2"/>
      <c r="I290" s="2"/>
    </row>
    <row r="291" spans="3:9" x14ac:dyDescent="0.35">
      <c r="C291" s="2" t="s">
        <v>29</v>
      </c>
      <c r="D291" s="3">
        <v>42734</v>
      </c>
      <c r="E291">
        <v>675</v>
      </c>
      <c r="F291">
        <v>6654532691.25</v>
      </c>
      <c r="G291" s="2">
        <v>44.493820583513703</v>
      </c>
      <c r="H291" s="2"/>
      <c r="I291" s="2"/>
    </row>
    <row r="292" spans="3:9" x14ac:dyDescent="0.35">
      <c r="C292" s="2" t="s">
        <v>30</v>
      </c>
      <c r="D292" s="3">
        <v>46022</v>
      </c>
      <c r="E292">
        <v>1144.5</v>
      </c>
      <c r="F292">
        <v>29164306700.654999</v>
      </c>
      <c r="G292">
        <v>83.376437839413001</v>
      </c>
      <c r="H292" s="2"/>
      <c r="I292" s="2"/>
    </row>
    <row r="293" spans="3:9" x14ac:dyDescent="0.35">
      <c r="C293" s="2" t="s">
        <v>30</v>
      </c>
      <c r="D293" s="3">
        <v>45657</v>
      </c>
      <c r="E293">
        <v>637</v>
      </c>
      <c r="F293">
        <v>16928414426.5599</v>
      </c>
      <c r="G293" s="2">
        <v>-26.504821382848</v>
      </c>
      <c r="H293" s="2"/>
      <c r="I293" s="2"/>
    </row>
    <row r="294" spans="3:9" x14ac:dyDescent="0.35">
      <c r="C294" s="2" t="s">
        <v>30</v>
      </c>
      <c r="D294" s="3">
        <v>45289</v>
      </c>
      <c r="E294">
        <v>887.2</v>
      </c>
      <c r="F294">
        <v>24429236147.231998</v>
      </c>
      <c r="G294" s="2">
        <v>-20.087065074622799</v>
      </c>
      <c r="H294" s="2"/>
      <c r="I294" s="2"/>
    </row>
    <row r="295" spans="3:9" x14ac:dyDescent="0.35">
      <c r="C295" s="2" t="s">
        <v>30</v>
      </c>
      <c r="D295" s="3">
        <v>44925</v>
      </c>
      <c r="E295">
        <v>1127.5</v>
      </c>
      <c r="F295">
        <v>31002522259.499901</v>
      </c>
      <c r="G295" s="2">
        <v>-10.305324899173399</v>
      </c>
      <c r="H295" s="2"/>
      <c r="I295" s="2"/>
    </row>
    <row r="296" spans="3:9" x14ac:dyDescent="0.35">
      <c r="C296" s="2" t="s">
        <v>30</v>
      </c>
      <c r="D296" s="3">
        <v>44561</v>
      </c>
      <c r="E296">
        <v>1274.5</v>
      </c>
      <c r="F296">
        <v>35003024317.425003</v>
      </c>
      <c r="G296" s="2">
        <v>-1.42723073960216</v>
      </c>
      <c r="H296" s="2"/>
      <c r="I296" s="2"/>
    </row>
    <row r="297" spans="3:9" x14ac:dyDescent="0.35">
      <c r="C297" s="2" t="s">
        <v>30</v>
      </c>
      <c r="D297" s="3">
        <v>44196</v>
      </c>
      <c r="E297">
        <v>1302.489732</v>
      </c>
      <c r="F297">
        <v>35149826285.939903</v>
      </c>
      <c r="G297" s="2">
        <v>-4.9987731489429201</v>
      </c>
      <c r="H297" s="2"/>
      <c r="I297" s="2"/>
    </row>
    <row r="298" spans="3:9" x14ac:dyDescent="0.35">
      <c r="C298" s="2" t="s">
        <v>30</v>
      </c>
      <c r="D298" s="3">
        <v>43830</v>
      </c>
      <c r="E298" s="2">
        <v>1401.119244</v>
      </c>
      <c r="F298" s="2">
        <v>37690807661.010002</v>
      </c>
      <c r="G298" s="2">
        <v>25.175979422505002</v>
      </c>
      <c r="H298" s="2"/>
      <c r="I298" s="2"/>
    </row>
    <row r="299" spans="3:9" x14ac:dyDescent="0.35">
      <c r="C299" s="2" t="s">
        <v>30</v>
      </c>
      <c r="D299" s="3">
        <v>43465</v>
      </c>
      <c r="E299" s="2">
        <v>1157.6329893184</v>
      </c>
      <c r="F299" s="2">
        <v>36354482614.179901</v>
      </c>
      <c r="G299" s="2">
        <v>-24.400954982814302</v>
      </c>
      <c r="H299" s="2"/>
    </row>
    <row r="300" spans="3:9" x14ac:dyDescent="0.35">
      <c r="C300" s="2" t="s">
        <v>30</v>
      </c>
      <c r="D300" s="3">
        <v>43098</v>
      </c>
      <c r="E300" s="2">
        <v>1573.3735100900001</v>
      </c>
      <c r="F300" s="2">
        <v>49298628104.474998</v>
      </c>
      <c r="G300" s="2">
        <v>20.1522096936027</v>
      </c>
      <c r="H300" s="2"/>
      <c r="I300" s="2"/>
    </row>
    <row r="301" spans="3:9" x14ac:dyDescent="0.35">
      <c r="C301" s="2" t="s">
        <v>30</v>
      </c>
      <c r="D301" s="3">
        <v>42734</v>
      </c>
      <c r="E301" s="2">
        <v>1343.8285949470001</v>
      </c>
      <c r="F301" s="2">
        <v>42006777100.574997</v>
      </c>
      <c r="G301" s="2">
        <v>10.3602618093204</v>
      </c>
      <c r="H301" s="2"/>
      <c r="I301" s="2"/>
    </row>
    <row r="302" spans="3:9" x14ac:dyDescent="0.35">
      <c r="C302" s="2" t="s">
        <v>31</v>
      </c>
      <c r="D302" s="3">
        <v>46022</v>
      </c>
      <c r="E302" s="2">
        <v>140.7866826028</v>
      </c>
      <c r="F302" s="2">
        <v>21370797349.608601</v>
      </c>
      <c r="G302" s="2">
        <v>6.7160444625445699</v>
      </c>
      <c r="H302" s="2"/>
      <c r="I302" s="2"/>
    </row>
    <row r="303" spans="3:9" x14ac:dyDescent="0.35">
      <c r="C303" s="2" t="s">
        <v>31</v>
      </c>
      <c r="D303" s="3">
        <v>45657</v>
      </c>
      <c r="E303" s="2">
        <v>133.9761604807</v>
      </c>
      <c r="F303" s="2">
        <v>19734906752.007999</v>
      </c>
      <c r="G303" s="2">
        <v>42.5270166286384</v>
      </c>
      <c r="H303" s="2"/>
      <c r="I303" s="2"/>
    </row>
    <row r="304" spans="3:9" x14ac:dyDescent="0.35">
      <c r="C304" s="2" t="s">
        <v>31</v>
      </c>
      <c r="D304" s="3">
        <v>45289</v>
      </c>
      <c r="E304" s="2">
        <v>95.428066888499998</v>
      </c>
      <c r="F304" s="2">
        <v>14868412909.2043</v>
      </c>
      <c r="G304" s="2">
        <v>52.386715208376302</v>
      </c>
      <c r="H304" s="2"/>
      <c r="I304" s="2"/>
    </row>
    <row r="305" spans="3:9" x14ac:dyDescent="0.35">
      <c r="C305" s="2" t="s">
        <v>31</v>
      </c>
      <c r="D305" s="3">
        <v>44925</v>
      </c>
      <c r="E305" s="2">
        <v>63.852009776999999</v>
      </c>
      <c r="F305" s="2">
        <v>10077698568.535601</v>
      </c>
      <c r="G305" s="2">
        <v>1.2016523969003501</v>
      </c>
      <c r="H305" s="2"/>
      <c r="I305" s="2"/>
    </row>
    <row r="306" spans="3:9" x14ac:dyDescent="0.35">
      <c r="C306" s="2" t="s">
        <v>31</v>
      </c>
      <c r="D306" s="3">
        <v>44561</v>
      </c>
      <c r="E306" s="2">
        <v>64.350012382800003</v>
      </c>
      <c r="F306" s="2">
        <v>11902617705.093599</v>
      </c>
      <c r="G306" s="2">
        <v>1.9402985074091801</v>
      </c>
      <c r="H306" s="2"/>
      <c r="I306" s="2"/>
    </row>
    <row r="307" spans="3:9" x14ac:dyDescent="0.35">
      <c r="C307" s="2" t="s">
        <v>31</v>
      </c>
      <c r="D307" s="3">
        <v>44196</v>
      </c>
      <c r="E307" s="2">
        <v>63.125195163199997</v>
      </c>
      <c r="F307" s="2">
        <v>11713060465.7013</v>
      </c>
      <c r="G307" s="2">
        <v>-9.9462365589754107</v>
      </c>
      <c r="H307" s="2"/>
      <c r="I307" s="2"/>
    </row>
    <row r="308" spans="3:9" x14ac:dyDescent="0.35">
      <c r="C308" s="2" t="s">
        <v>31</v>
      </c>
      <c r="D308" s="3">
        <v>43830</v>
      </c>
      <c r="E308" s="2">
        <v>70.097231643900002</v>
      </c>
      <c r="F308" s="2">
        <v>12569999866.666599</v>
      </c>
      <c r="G308" s="2">
        <v>24.846142646659199</v>
      </c>
      <c r="H308" s="2"/>
      <c r="I308" s="2"/>
    </row>
    <row r="309" spans="3:9" x14ac:dyDescent="0.35">
      <c r="C309" s="2" t="s">
        <v>31</v>
      </c>
      <c r="D309" s="3">
        <v>43465</v>
      </c>
      <c r="E309">
        <v>57.195593346899997</v>
      </c>
      <c r="F309">
        <v>10311462819.0539</v>
      </c>
      <c r="G309" s="2">
        <v>-8.6074961348855101</v>
      </c>
      <c r="H309" s="2"/>
      <c r="I309" s="2"/>
    </row>
    <row r="310" spans="3:9" x14ac:dyDescent="0.35">
      <c r="C310" s="2" t="s">
        <v>31</v>
      </c>
      <c r="D310" s="3">
        <v>43098</v>
      </c>
      <c r="E310" s="2">
        <v>63.702148927099998</v>
      </c>
      <c r="F310" s="2">
        <v>12114415460.761</v>
      </c>
      <c r="G310" s="2">
        <v>31.339128530789601</v>
      </c>
      <c r="H310" s="2"/>
      <c r="I310" s="2"/>
    </row>
    <row r="311" spans="3:9" x14ac:dyDescent="0.35">
      <c r="C311" s="2" t="s">
        <v>31</v>
      </c>
      <c r="D311" s="3">
        <v>42734</v>
      </c>
      <c r="E311">
        <v>49.350554383199999</v>
      </c>
      <c r="F311">
        <v>8864208877.4301796</v>
      </c>
      <c r="G311" s="2">
        <v>39.349410478777699</v>
      </c>
      <c r="H311" s="2"/>
      <c r="I311" s="2"/>
    </row>
    <row r="312" spans="3:9" x14ac:dyDescent="0.35">
      <c r="C312" s="2" t="s">
        <v>32</v>
      </c>
      <c r="D312" s="3">
        <v>46022</v>
      </c>
      <c r="E312">
        <v>6010.9111422408996</v>
      </c>
      <c r="F312">
        <v>40356260144.18</v>
      </c>
      <c r="G312">
        <v>29.329615120910201</v>
      </c>
      <c r="H312" s="2"/>
      <c r="I312" s="2"/>
    </row>
    <row r="313" spans="3:9" x14ac:dyDescent="0.35">
      <c r="C313" s="2" t="s">
        <v>32</v>
      </c>
      <c r="D313" s="3">
        <v>45657</v>
      </c>
      <c r="E313">
        <v>4840.1755332307002</v>
      </c>
      <c r="F313">
        <v>33184481132.25</v>
      </c>
      <c r="G313" s="2">
        <v>-6.5754503589352202</v>
      </c>
      <c r="H313" s="2"/>
      <c r="I313" s="2"/>
    </row>
    <row r="314" spans="3:9" x14ac:dyDescent="0.35">
      <c r="C314" s="2" t="s">
        <v>32</v>
      </c>
      <c r="D314" s="3">
        <v>45289</v>
      </c>
      <c r="E314">
        <v>5428.0470494745005</v>
      </c>
      <c r="F314">
        <v>38695405616.599998</v>
      </c>
      <c r="G314" s="2">
        <v>-2.8441607654893999</v>
      </c>
      <c r="H314" s="2"/>
      <c r="I314" s="2"/>
    </row>
    <row r="315" spans="3:9" x14ac:dyDescent="0.35">
      <c r="C315" s="2" t="s">
        <v>32</v>
      </c>
      <c r="D315" s="3">
        <v>44925</v>
      </c>
      <c r="E315">
        <v>5762.5429377630999</v>
      </c>
      <c r="F315">
        <v>41182988659.68</v>
      </c>
      <c r="G315" s="2">
        <v>-6.7813501296699004</v>
      </c>
      <c r="H315" s="2"/>
      <c r="I315" s="2"/>
    </row>
    <row r="316" spans="3:9" x14ac:dyDescent="0.35">
      <c r="C316" s="2" t="s">
        <v>32</v>
      </c>
      <c r="D316" s="3">
        <v>44561</v>
      </c>
      <c r="E316">
        <v>6351.4159387024001</v>
      </c>
      <c r="F316">
        <v>45308021660.580002</v>
      </c>
      <c r="G316" s="2">
        <v>-0.22193391235158</v>
      </c>
      <c r="H316" s="2"/>
      <c r="I316" s="2"/>
    </row>
    <row r="317" spans="3:9" x14ac:dyDescent="0.35">
      <c r="C317" s="2" t="s">
        <v>32</v>
      </c>
      <c r="D317" s="3">
        <v>44196</v>
      </c>
      <c r="E317">
        <v>6551.7128777974003</v>
      </c>
      <c r="F317">
        <v>46627129391.540001</v>
      </c>
      <c r="G317" s="2">
        <v>9.5140453961821905</v>
      </c>
      <c r="H317" s="2"/>
      <c r="I317" s="2"/>
    </row>
    <row r="318" spans="3:9" x14ac:dyDescent="0.35">
      <c r="C318" s="2" t="s">
        <v>32</v>
      </c>
      <c r="D318" s="3">
        <v>43830</v>
      </c>
      <c r="E318">
        <v>6138.0996985662996</v>
      </c>
      <c r="F318">
        <v>43500371810.760002</v>
      </c>
      <c r="G318" s="2">
        <v>4.9234164726110103</v>
      </c>
      <c r="H318" s="2"/>
      <c r="I318" s="2"/>
    </row>
    <row r="319" spans="3:9" x14ac:dyDescent="0.35">
      <c r="C319" s="2" t="s">
        <v>32</v>
      </c>
      <c r="D319" s="3">
        <v>43465</v>
      </c>
      <c r="E319" s="2">
        <v>6021.9274738912</v>
      </c>
      <c r="F319" s="2">
        <v>42542084316.339996</v>
      </c>
      <c r="G319" s="2">
        <v>-10.7684639904226</v>
      </c>
      <c r="H319" s="2"/>
      <c r="I319" s="2"/>
    </row>
    <row r="320" spans="3:9" x14ac:dyDescent="0.35">
      <c r="C320" s="2" t="s">
        <v>32</v>
      </c>
      <c r="D320" s="3">
        <v>43098</v>
      </c>
      <c r="E320" s="2">
        <v>6929.2726079915001</v>
      </c>
      <c r="F320" s="2">
        <v>48686199282.82</v>
      </c>
      <c r="G320" s="2">
        <v>2.6831274345503902</v>
      </c>
      <c r="H320" s="2"/>
      <c r="I320" s="2"/>
    </row>
    <row r="321" spans="3:9" x14ac:dyDescent="0.35">
      <c r="C321" s="2" t="s">
        <v>32</v>
      </c>
      <c r="D321" s="3">
        <v>42734</v>
      </c>
      <c r="E321" s="2">
        <v>6896.2236130408</v>
      </c>
      <c r="F321" s="2">
        <v>48201601231.739998</v>
      </c>
      <c r="G321" s="2">
        <v>11.938328156877301</v>
      </c>
      <c r="H321" s="2"/>
    </row>
    <row r="322" spans="3:9" x14ac:dyDescent="0.35">
      <c r="C322" s="2" t="s">
        <v>33</v>
      </c>
      <c r="D322" s="3">
        <v>46022</v>
      </c>
      <c r="E322" s="2">
        <v>3363</v>
      </c>
      <c r="F322" s="2">
        <v>30857318790.57</v>
      </c>
      <c r="G322" s="2">
        <v>-1.11498006852557</v>
      </c>
      <c r="H322" s="2"/>
      <c r="I322" s="2"/>
    </row>
    <row r="323" spans="3:9" x14ac:dyDescent="0.35">
      <c r="C323" s="2" t="s">
        <v>33</v>
      </c>
      <c r="D323" s="3">
        <v>45657</v>
      </c>
      <c r="E323" s="2">
        <v>3445</v>
      </c>
      <c r="F323" s="2">
        <v>31685345574.349998</v>
      </c>
      <c r="G323" s="2">
        <v>9.0181146334432007</v>
      </c>
      <c r="H323" s="2"/>
      <c r="I323" s="2"/>
    </row>
    <row r="324" spans="3:9" x14ac:dyDescent="0.35">
      <c r="C324" s="2" t="s">
        <v>33</v>
      </c>
      <c r="D324" s="3">
        <v>45289</v>
      </c>
      <c r="E324" s="2">
        <v>3202</v>
      </c>
      <c r="F324" s="2">
        <v>29420370070.1399</v>
      </c>
      <c r="G324" s="2">
        <v>15.5627057612908</v>
      </c>
      <c r="H324" s="2"/>
      <c r="I324" s="2"/>
    </row>
    <row r="325" spans="3:9" x14ac:dyDescent="0.35">
      <c r="C325" s="2" t="s">
        <v>33</v>
      </c>
      <c r="D325" s="3">
        <v>44925</v>
      </c>
      <c r="E325" s="2">
        <v>2813</v>
      </c>
      <c r="F325" s="2">
        <v>25915454216.699902</v>
      </c>
      <c r="G325" s="2">
        <v>-21.2775695281771</v>
      </c>
      <c r="H325" s="2"/>
      <c r="I325" s="2"/>
    </row>
    <row r="326" spans="3:9" x14ac:dyDescent="0.35">
      <c r="C326" s="2" t="s">
        <v>33</v>
      </c>
      <c r="D326" s="3">
        <v>44561</v>
      </c>
      <c r="E326" s="2">
        <v>3632</v>
      </c>
      <c r="F326" s="2">
        <v>33519037629.439999</v>
      </c>
      <c r="G326" s="2">
        <v>32.3800372824562</v>
      </c>
      <c r="H326" s="2"/>
      <c r="I326" s="2"/>
    </row>
    <row r="327" spans="3:9" x14ac:dyDescent="0.35">
      <c r="C327" s="2" t="s">
        <v>33</v>
      </c>
      <c r="D327" s="3">
        <v>44196</v>
      </c>
      <c r="E327" s="2">
        <v>2777</v>
      </c>
      <c r="F327" s="2">
        <v>25472883955.970001</v>
      </c>
      <c r="G327" s="2">
        <v>10.3172531822772</v>
      </c>
      <c r="H327" s="2"/>
      <c r="I327" s="2"/>
    </row>
    <row r="328" spans="3:9" x14ac:dyDescent="0.35">
      <c r="C328" s="2" t="s">
        <v>33</v>
      </c>
      <c r="D328" s="3">
        <v>43830</v>
      </c>
      <c r="E328" s="2">
        <v>2552</v>
      </c>
      <c r="F328" s="2">
        <v>23178366106.720001</v>
      </c>
      <c r="G328" s="2">
        <v>36.2436028478512</v>
      </c>
      <c r="H328" s="2"/>
      <c r="I328" s="2"/>
    </row>
    <row r="329" spans="3:9" x14ac:dyDescent="0.35">
      <c r="C329" s="2" t="s">
        <v>33</v>
      </c>
      <c r="D329" s="3">
        <v>43465</v>
      </c>
      <c r="E329" s="2">
        <v>1905</v>
      </c>
      <c r="F329" s="2">
        <v>17336194296.299999</v>
      </c>
      <c r="G329" s="2">
        <v>18.663427719766599</v>
      </c>
      <c r="H329" s="2"/>
      <c r="I329" s="2"/>
    </row>
    <row r="330" spans="3:9" x14ac:dyDescent="0.35">
      <c r="C330" s="2" t="s">
        <v>33</v>
      </c>
      <c r="D330" s="3">
        <v>43098</v>
      </c>
      <c r="E330">
        <v>1636</v>
      </c>
      <c r="F330">
        <v>15047995566.799999</v>
      </c>
      <c r="G330" s="2">
        <v>5.3563519688417696</v>
      </c>
      <c r="H330" s="2"/>
      <c r="I330" s="2"/>
    </row>
    <row r="331" spans="3:9" x14ac:dyDescent="0.35">
      <c r="C331" s="2" t="s">
        <v>33</v>
      </c>
      <c r="D331" s="3">
        <v>42734</v>
      </c>
      <c r="E331">
        <v>1574</v>
      </c>
      <c r="F331">
        <v>14869373348.52</v>
      </c>
      <c r="G331" s="2">
        <v>33.995187409797403</v>
      </c>
      <c r="H331" s="2"/>
      <c r="I331" s="2"/>
    </row>
    <row r="332" spans="3:9" x14ac:dyDescent="0.35">
      <c r="C332" s="2" t="s">
        <v>34</v>
      </c>
      <c r="D332" s="3">
        <v>46022</v>
      </c>
      <c r="E332" s="2">
        <v>3538</v>
      </c>
      <c r="F332" s="2">
        <v>13431851846.16</v>
      </c>
      <c r="G332" s="2">
        <v>32.5059068036471</v>
      </c>
      <c r="H332" s="2"/>
      <c r="I332" s="2"/>
    </row>
    <row r="333" spans="3:9" x14ac:dyDescent="0.35">
      <c r="C333" s="2" t="s">
        <v>34</v>
      </c>
      <c r="D333" s="3">
        <v>45657</v>
      </c>
      <c r="E333">
        <v>2689</v>
      </c>
      <c r="F333">
        <v>10208662977.48</v>
      </c>
      <c r="G333" s="2">
        <v>18.704370313152399</v>
      </c>
      <c r="H333" s="2"/>
      <c r="I333" s="2"/>
    </row>
    <row r="334" spans="3:9" x14ac:dyDescent="0.35">
      <c r="C334" s="2" t="s">
        <v>34</v>
      </c>
      <c r="D334" s="3">
        <v>45289</v>
      </c>
      <c r="E334">
        <v>2284</v>
      </c>
      <c r="F334">
        <v>8671099382.8799591</v>
      </c>
      <c r="G334" s="2">
        <v>16.774180760675101</v>
      </c>
      <c r="H334" s="2"/>
      <c r="I334" s="2"/>
    </row>
    <row r="335" spans="3:9" x14ac:dyDescent="0.35">
      <c r="C335" s="2" t="s">
        <v>34</v>
      </c>
      <c r="D335" s="3">
        <v>44925</v>
      </c>
      <c r="E335">
        <v>1974</v>
      </c>
      <c r="F335">
        <v>7494198853.6800003</v>
      </c>
      <c r="G335" s="2">
        <v>-37.728722202880803</v>
      </c>
      <c r="H335" s="2"/>
      <c r="I335" s="2"/>
    </row>
    <row r="336" spans="3:9" x14ac:dyDescent="0.35">
      <c r="C336" s="2" t="s">
        <v>34</v>
      </c>
      <c r="D336" s="3">
        <v>44561</v>
      </c>
      <c r="E336">
        <v>3200</v>
      </c>
      <c r="F336">
        <v>12148650623.999901</v>
      </c>
      <c r="G336" s="2">
        <v>31.479721087192399</v>
      </c>
      <c r="H336" s="2"/>
      <c r="I336" s="2"/>
    </row>
    <row r="337" spans="3:9" x14ac:dyDescent="0.35">
      <c r="C337" s="2" t="s">
        <v>34</v>
      </c>
      <c r="D337" s="3">
        <v>44196</v>
      </c>
      <c r="E337">
        <v>2449</v>
      </c>
      <c r="F337">
        <v>9297514180.6799603</v>
      </c>
      <c r="G337" s="2">
        <v>16.583298166769801</v>
      </c>
      <c r="H337" s="2"/>
      <c r="I337" s="2"/>
    </row>
    <row r="338" spans="3:9" x14ac:dyDescent="0.35">
      <c r="C338" s="2" t="s">
        <v>34</v>
      </c>
      <c r="D338" s="3">
        <v>43830</v>
      </c>
      <c r="E338">
        <v>2116</v>
      </c>
      <c r="F338">
        <v>8033295225.1199398</v>
      </c>
      <c r="G338" s="2">
        <v>56.359053400628397</v>
      </c>
      <c r="H338" s="2"/>
      <c r="I338" s="2"/>
    </row>
    <row r="339" spans="3:9" x14ac:dyDescent="0.35">
      <c r="C339" s="2" t="s">
        <v>34</v>
      </c>
      <c r="D339" s="3">
        <v>43465</v>
      </c>
      <c r="E339">
        <v>1364</v>
      </c>
      <c r="F339">
        <v>5178362328.4799995</v>
      </c>
      <c r="G339" s="2">
        <v>9.4714018570416698</v>
      </c>
      <c r="H339" s="2"/>
      <c r="I339" s="2"/>
    </row>
    <row r="340" spans="3:9" x14ac:dyDescent="0.35">
      <c r="C340" s="2" t="s">
        <v>34</v>
      </c>
      <c r="D340" s="3">
        <v>43098</v>
      </c>
      <c r="E340" s="2">
        <v>1260</v>
      </c>
      <c r="F340" s="2">
        <v>4783480909.1999998</v>
      </c>
      <c r="G340" s="2">
        <v>42.101612720480396</v>
      </c>
      <c r="H340" s="2"/>
      <c r="I340" s="2"/>
    </row>
    <row r="341" spans="3:9" x14ac:dyDescent="0.35">
      <c r="C341" s="2" t="s">
        <v>34</v>
      </c>
      <c r="D341" s="3">
        <v>42734</v>
      </c>
      <c r="E341" s="2">
        <v>897.5</v>
      </c>
      <c r="F341" s="2">
        <v>3403168717.4000001</v>
      </c>
      <c r="G341" s="2">
        <v>5.1660144983303802</v>
      </c>
      <c r="H341" s="2"/>
      <c r="I341" s="2"/>
    </row>
    <row r="342" spans="3:9" x14ac:dyDescent="0.35">
      <c r="C342" s="2" t="s">
        <v>35</v>
      </c>
      <c r="D342" s="3">
        <v>46022</v>
      </c>
      <c r="E342" s="2">
        <v>1714</v>
      </c>
      <c r="F342" s="2">
        <v>51437413674.379997</v>
      </c>
      <c r="G342" s="2">
        <v>52.119663427156297</v>
      </c>
      <c r="H342" s="2"/>
      <c r="I342" s="2"/>
    </row>
    <row r="343" spans="3:9" x14ac:dyDescent="0.35">
      <c r="C343" s="2" t="s">
        <v>35</v>
      </c>
      <c r="D343" s="3">
        <v>45657</v>
      </c>
      <c r="E343" s="2">
        <v>1148.5</v>
      </c>
      <c r="F343" s="2">
        <v>34586298931.849998</v>
      </c>
      <c r="G343" s="2">
        <v>5.9057353672205197</v>
      </c>
      <c r="H343" s="2"/>
    </row>
    <row r="344" spans="3:9" x14ac:dyDescent="0.35">
      <c r="C344" s="2" t="s">
        <v>35</v>
      </c>
      <c r="D344" s="3">
        <v>45289</v>
      </c>
      <c r="E344" s="2">
        <v>1110.5</v>
      </c>
      <c r="F344" s="2">
        <v>33700680858.794998</v>
      </c>
      <c r="G344" s="2">
        <v>33.298750558723498</v>
      </c>
      <c r="H344" s="2"/>
      <c r="I344" s="2"/>
    </row>
    <row r="345" spans="3:9" x14ac:dyDescent="0.35">
      <c r="C345" s="2" t="s">
        <v>35</v>
      </c>
      <c r="D345" s="3">
        <v>44925</v>
      </c>
      <c r="E345">
        <v>856</v>
      </c>
      <c r="F345">
        <v>26343136848.4799</v>
      </c>
      <c r="G345" s="2">
        <v>60.927347343361397</v>
      </c>
      <c r="H345" s="2"/>
      <c r="I345" s="2"/>
    </row>
    <row r="346" spans="3:9" x14ac:dyDescent="0.35">
      <c r="C346" s="2" t="s">
        <v>35</v>
      </c>
      <c r="D346" s="3">
        <v>44561</v>
      </c>
      <c r="E346">
        <v>549.79999999999995</v>
      </c>
      <c r="F346">
        <v>17401819429.257999</v>
      </c>
      <c r="G346" s="2">
        <v>17.653713210875502</v>
      </c>
      <c r="H346" s="2"/>
      <c r="I346" s="2"/>
    </row>
    <row r="347" spans="3:9" x14ac:dyDescent="0.35">
      <c r="C347" s="2" t="s">
        <v>35</v>
      </c>
      <c r="D347" s="3">
        <v>44196</v>
      </c>
      <c r="E347">
        <v>488.8</v>
      </c>
      <c r="F347">
        <v>15731756691.559999</v>
      </c>
      <c r="G347" s="2">
        <v>-9.2149062122808107</v>
      </c>
      <c r="H347" s="2"/>
      <c r="I347" s="2"/>
    </row>
    <row r="348" spans="3:9" x14ac:dyDescent="0.35">
      <c r="C348" s="2" t="s">
        <v>35</v>
      </c>
      <c r="D348" s="3">
        <v>43830</v>
      </c>
      <c r="E348">
        <v>564.79999999999995</v>
      </c>
      <c r="F348">
        <v>18104902870.863899</v>
      </c>
      <c r="G348" s="2">
        <v>28.495598000459601</v>
      </c>
      <c r="H348" s="2"/>
      <c r="I348" s="2"/>
    </row>
    <row r="349" spans="3:9" x14ac:dyDescent="0.35">
      <c r="C349" s="2" t="s">
        <v>35</v>
      </c>
      <c r="D349" s="3">
        <v>43465</v>
      </c>
      <c r="E349">
        <v>459.2</v>
      </c>
      <c r="F349">
        <v>14675067252.943899</v>
      </c>
      <c r="G349" s="2">
        <v>-16.749301388559999</v>
      </c>
      <c r="H349" s="2"/>
      <c r="I349" s="2"/>
    </row>
    <row r="350" spans="3:9" x14ac:dyDescent="0.35">
      <c r="C350" s="2" t="s">
        <v>35</v>
      </c>
      <c r="D350" s="3">
        <v>43098</v>
      </c>
      <c r="E350">
        <v>573</v>
      </c>
      <c r="F350">
        <v>18256967857.650002</v>
      </c>
      <c r="G350" s="2">
        <v>0.30820230421890799</v>
      </c>
      <c r="H350" s="2"/>
      <c r="I350" s="2"/>
    </row>
    <row r="351" spans="3:9" x14ac:dyDescent="0.35">
      <c r="C351" s="2" t="s">
        <v>35</v>
      </c>
      <c r="D351" s="3">
        <v>42734</v>
      </c>
      <c r="E351">
        <v>591.5</v>
      </c>
      <c r="F351">
        <v>18785984889.945</v>
      </c>
      <c r="G351" s="2">
        <v>23.290356974168301</v>
      </c>
      <c r="H351" s="2"/>
      <c r="I351" s="2"/>
    </row>
    <row r="352" spans="3:9" x14ac:dyDescent="0.35">
      <c r="C352" s="2" t="s">
        <v>36</v>
      </c>
      <c r="D352" s="3">
        <v>46022</v>
      </c>
      <c r="E352">
        <v>1173.8</v>
      </c>
      <c r="F352">
        <v>201602965500.15601</v>
      </c>
      <c r="G352" s="2">
        <v>57.731383181805299</v>
      </c>
      <c r="H352" s="2"/>
      <c r="I352" s="2"/>
    </row>
    <row r="353" spans="3:9" x14ac:dyDescent="0.35">
      <c r="C353" s="2" t="s">
        <v>36</v>
      </c>
      <c r="D353" s="3">
        <v>45657</v>
      </c>
      <c r="E353">
        <v>785.3</v>
      </c>
      <c r="F353">
        <v>140922260302.51901</v>
      </c>
      <c r="G353" s="2">
        <v>39.5726976092241</v>
      </c>
      <c r="H353" s="2"/>
      <c r="I353" s="2"/>
    </row>
    <row r="354" spans="3:9" x14ac:dyDescent="0.35">
      <c r="C354" s="2" t="s">
        <v>36</v>
      </c>
      <c r="D354" s="3">
        <v>45289</v>
      </c>
      <c r="E354" s="2">
        <v>620.68649500000004</v>
      </c>
      <c r="F354" s="2">
        <v>122380323666.075</v>
      </c>
      <c r="G354" s="2">
        <v>31.959646941011801</v>
      </c>
      <c r="H354" s="2"/>
      <c r="I354" s="2"/>
    </row>
    <row r="355" spans="3:9" x14ac:dyDescent="0.35">
      <c r="C355" s="2" t="s">
        <v>36</v>
      </c>
      <c r="D355" s="3">
        <v>44925</v>
      </c>
      <c r="E355" s="2">
        <v>503.679033</v>
      </c>
      <c r="F355" s="2">
        <v>102976698453.47</v>
      </c>
      <c r="G355" s="2">
        <v>20.0096311992381</v>
      </c>
      <c r="H355" s="2"/>
      <c r="I355" s="2"/>
    </row>
    <row r="356" spans="3:9" x14ac:dyDescent="0.35">
      <c r="C356" s="2" t="s">
        <v>36</v>
      </c>
      <c r="D356" s="3">
        <v>44561</v>
      </c>
      <c r="E356" s="2">
        <v>438.19196849999997</v>
      </c>
      <c r="F356" s="2">
        <v>91084801931.797302</v>
      </c>
      <c r="G356" s="2">
        <v>23.0087266061254</v>
      </c>
      <c r="H356" s="2"/>
      <c r="I356" s="2"/>
    </row>
    <row r="357" spans="3:9" x14ac:dyDescent="0.35">
      <c r="C357" s="2" t="s">
        <v>36</v>
      </c>
      <c r="D357" s="3">
        <v>44196</v>
      </c>
      <c r="E357" s="2">
        <v>370.01900649999999</v>
      </c>
      <c r="F357" s="2">
        <v>77165485234.929993</v>
      </c>
      <c r="G357" s="2">
        <v>-35.994255786358998</v>
      </c>
      <c r="H357" s="2"/>
      <c r="I357" s="2"/>
    </row>
    <row r="358" spans="3:9" x14ac:dyDescent="0.35">
      <c r="C358" s="2" t="s">
        <v>36</v>
      </c>
      <c r="D358" s="3">
        <v>43830</v>
      </c>
      <c r="E358" s="2">
        <v>578.10281099999997</v>
      </c>
      <c r="F358" s="2">
        <v>120234133485.82201</v>
      </c>
      <c r="G358" s="2">
        <v>-2.5055190367616902</v>
      </c>
      <c r="H358" s="2"/>
      <c r="I358" s="2"/>
    </row>
    <row r="359" spans="3:9" x14ac:dyDescent="0.35">
      <c r="C359" s="2" t="s">
        <v>36</v>
      </c>
      <c r="D359" s="3">
        <v>43465</v>
      </c>
      <c r="E359" s="2">
        <v>631.82076099999995</v>
      </c>
      <c r="F359" s="2">
        <v>129609953652.97301</v>
      </c>
      <c r="G359" s="2">
        <v>-11.0175283256953</v>
      </c>
      <c r="H359" s="2"/>
      <c r="I359" s="2"/>
    </row>
    <row r="360" spans="3:9" x14ac:dyDescent="0.35">
      <c r="C360" s="2" t="s">
        <v>36</v>
      </c>
      <c r="D360" s="3">
        <v>43098</v>
      </c>
      <c r="E360">
        <v>749.02356099999997</v>
      </c>
      <c r="F360">
        <v>153345051224.31799</v>
      </c>
      <c r="G360" s="2">
        <v>23.6023594529922</v>
      </c>
      <c r="H360" s="2"/>
      <c r="I360" s="2"/>
    </row>
    <row r="361" spans="3:9" x14ac:dyDescent="0.35">
      <c r="C361" s="2" t="s">
        <v>36</v>
      </c>
      <c r="D361" s="3">
        <v>42734</v>
      </c>
      <c r="E361">
        <v>641.58766100000003</v>
      </c>
      <c r="F361">
        <v>130498092194.086</v>
      </c>
      <c r="G361" s="2">
        <v>32.2683798889963</v>
      </c>
      <c r="H361" s="2"/>
      <c r="I361" s="2"/>
    </row>
    <row r="362" spans="3:9" x14ac:dyDescent="0.35">
      <c r="C362" s="2" t="s">
        <v>37</v>
      </c>
      <c r="D362" s="3">
        <v>46022</v>
      </c>
      <c r="E362">
        <v>2550</v>
      </c>
      <c r="F362">
        <v>4311100762.5</v>
      </c>
      <c r="G362">
        <v>-10.476161322729199</v>
      </c>
      <c r="H362" s="2"/>
      <c r="I362" s="2"/>
    </row>
    <row r="363" spans="3:9" x14ac:dyDescent="0.35">
      <c r="C363" s="2" t="s">
        <v>37</v>
      </c>
      <c r="D363" s="3">
        <v>45657</v>
      </c>
      <c r="E363">
        <v>2946</v>
      </c>
      <c r="F363">
        <v>5197363661.6400003</v>
      </c>
      <c r="G363" s="2">
        <v>-16.711293497125801</v>
      </c>
      <c r="H363" s="2"/>
      <c r="I363" s="2"/>
    </row>
    <row r="364" spans="3:9" x14ac:dyDescent="0.35">
      <c r="C364" s="2" t="s">
        <v>37</v>
      </c>
      <c r="D364" s="3">
        <v>45289</v>
      </c>
      <c r="E364">
        <v>3656</v>
      </c>
      <c r="F364">
        <v>6850648811.6000004</v>
      </c>
      <c r="G364" s="2">
        <v>45.908918135027697</v>
      </c>
      <c r="H364" s="2"/>
      <c r="I364" s="2"/>
    </row>
    <row r="365" spans="3:9" x14ac:dyDescent="0.35">
      <c r="C365" s="2" t="s">
        <v>37</v>
      </c>
      <c r="D365" s="3">
        <v>44925</v>
      </c>
      <c r="E365" s="2">
        <v>2570</v>
      </c>
      <c r="F365" s="2">
        <v>5192119471.5</v>
      </c>
      <c r="G365" s="2">
        <v>-12.2718383840187</v>
      </c>
      <c r="H365" s="2"/>
    </row>
    <row r="366" spans="3:9" x14ac:dyDescent="0.35">
      <c r="C366" s="2" t="s">
        <v>37</v>
      </c>
      <c r="D366" s="3">
        <v>44561</v>
      </c>
      <c r="E366">
        <v>2995</v>
      </c>
      <c r="F366">
        <v>6049871727.1999998</v>
      </c>
      <c r="G366" s="2">
        <v>-3.3870967735649198</v>
      </c>
      <c r="H366" s="2"/>
      <c r="I366" s="2"/>
    </row>
    <row r="367" spans="3:9" x14ac:dyDescent="0.35">
      <c r="C367" s="2" t="s">
        <v>37</v>
      </c>
      <c r="D367" s="3">
        <v>44196</v>
      </c>
      <c r="E367">
        <v>3100</v>
      </c>
      <c r="F367">
        <v>6256827774</v>
      </c>
      <c r="G367" s="2">
        <v>-25.539929403677299</v>
      </c>
      <c r="H367" s="2"/>
      <c r="I367" s="2"/>
    </row>
    <row r="368" spans="3:9" x14ac:dyDescent="0.35">
      <c r="C368" s="2" t="s">
        <v>37</v>
      </c>
      <c r="D368" s="3">
        <v>43830</v>
      </c>
      <c r="E368">
        <v>4163.3052120000002</v>
      </c>
      <c r="F368">
        <v>6479161024.2799997</v>
      </c>
      <c r="G368" s="2">
        <v>8.2078947175498609</v>
      </c>
      <c r="H368" s="2"/>
      <c r="I368" s="2"/>
    </row>
    <row r="369" spans="3:9" x14ac:dyDescent="0.35">
      <c r="C369" s="2" t="s">
        <v>37</v>
      </c>
      <c r="D369" s="3">
        <v>43465</v>
      </c>
      <c r="E369">
        <v>3933.9196379999998</v>
      </c>
      <c r="F369">
        <v>8408804030.22999</v>
      </c>
      <c r="G369" s="2">
        <v>17.236260529567001</v>
      </c>
      <c r="H369" s="2"/>
      <c r="I369" s="2"/>
    </row>
    <row r="370" spans="3:9" x14ac:dyDescent="0.35">
      <c r="C370" s="2" t="s">
        <v>37</v>
      </c>
      <c r="D370" s="3">
        <v>43098</v>
      </c>
      <c r="E370" s="2">
        <v>3436.4879999999998</v>
      </c>
      <c r="F370" s="2">
        <v>7337115240</v>
      </c>
      <c r="G370" s="2">
        <v>8.5148905686019098</v>
      </c>
      <c r="H370" s="2"/>
      <c r="I370" s="2"/>
    </row>
    <row r="371" spans="3:9" x14ac:dyDescent="0.35">
      <c r="C371" s="2" t="s">
        <v>37</v>
      </c>
      <c r="D371" s="3">
        <v>42734</v>
      </c>
      <c r="E371" s="2">
        <v>3244.044672</v>
      </c>
      <c r="F371" s="2">
        <v>6918025610.2399902</v>
      </c>
      <c r="G371" s="2">
        <v>-12.202413249698999</v>
      </c>
      <c r="H371" s="2"/>
      <c r="I371" s="2"/>
    </row>
    <row r="372" spans="3:9" x14ac:dyDescent="0.35">
      <c r="C372" s="2" t="s">
        <v>38</v>
      </c>
      <c r="D372" s="3">
        <v>46022</v>
      </c>
      <c r="E372" s="2">
        <v>4630</v>
      </c>
      <c r="F372" s="2">
        <v>3955089391.0999999</v>
      </c>
      <c r="G372" s="2">
        <v>-5.8096120471865698</v>
      </c>
      <c r="H372" s="2"/>
      <c r="I372" s="2"/>
    </row>
    <row r="373" spans="3:9" x14ac:dyDescent="0.35">
      <c r="C373" s="2" t="s">
        <v>38</v>
      </c>
      <c r="D373" s="3">
        <v>45657</v>
      </c>
      <c r="E373" s="2">
        <v>5140</v>
      </c>
      <c r="F373" s="2">
        <v>5086843353.5999899</v>
      </c>
      <c r="G373" s="2">
        <v>-7.8687553915914297</v>
      </c>
      <c r="H373" s="2"/>
      <c r="I373" s="2"/>
    </row>
    <row r="374" spans="3:9" x14ac:dyDescent="0.35">
      <c r="C374" s="2" t="s">
        <v>38</v>
      </c>
      <c r="D374" s="3">
        <v>45289</v>
      </c>
      <c r="E374" s="2">
        <v>5778</v>
      </c>
      <c r="F374" s="2">
        <v>5711343200.8199997</v>
      </c>
      <c r="G374" s="2">
        <v>47.195520709949101</v>
      </c>
      <c r="H374" s="2"/>
      <c r="I374" s="2"/>
    </row>
    <row r="375" spans="3:9" x14ac:dyDescent="0.35">
      <c r="C375" s="2" t="s">
        <v>38</v>
      </c>
      <c r="D375" s="3">
        <v>44925</v>
      </c>
      <c r="E375">
        <v>4080</v>
      </c>
      <c r="F375">
        <v>4028831455.1999998</v>
      </c>
      <c r="G375" s="2">
        <v>-30.1639475491322</v>
      </c>
      <c r="H375" s="2"/>
      <c r="I375" s="2"/>
    </row>
    <row r="376" spans="3:9" x14ac:dyDescent="0.35">
      <c r="C376" s="2" t="s">
        <v>38</v>
      </c>
      <c r="D376" s="3">
        <v>44561</v>
      </c>
      <c r="E376" s="2">
        <v>6050</v>
      </c>
      <c r="F376" s="2">
        <v>5966633238.5</v>
      </c>
      <c r="G376" s="2">
        <v>20.0705706138036</v>
      </c>
      <c r="H376" s="2"/>
    </row>
    <row r="377" spans="3:9" x14ac:dyDescent="0.35">
      <c r="C377" s="2" t="s">
        <v>38</v>
      </c>
      <c r="D377" s="3">
        <v>44196</v>
      </c>
      <c r="E377">
        <v>5178</v>
      </c>
      <c r="F377">
        <v>5103438819.4200001</v>
      </c>
      <c r="G377" s="2">
        <v>-18.984970969813599</v>
      </c>
      <c r="H377" s="2"/>
      <c r="I377" s="2"/>
    </row>
    <row r="378" spans="3:9" x14ac:dyDescent="0.35">
      <c r="C378" s="2" t="s">
        <v>38</v>
      </c>
      <c r="D378" s="3">
        <v>43830</v>
      </c>
      <c r="E378">
        <v>6544</v>
      </c>
      <c r="F378">
        <v>6439072456.96</v>
      </c>
      <c r="G378" s="2">
        <v>11.691453739020099</v>
      </c>
      <c r="H378" s="2"/>
      <c r="I378" s="2"/>
    </row>
    <row r="379" spans="3:9" x14ac:dyDescent="0.35">
      <c r="C379" s="2" t="s">
        <v>38</v>
      </c>
      <c r="D379" s="3">
        <v>43465</v>
      </c>
      <c r="E379">
        <v>5985</v>
      </c>
      <c r="F379">
        <v>5880231318.1499901</v>
      </c>
      <c r="G379" s="2">
        <v>-18.2803076928978</v>
      </c>
      <c r="H379" s="2"/>
      <c r="I379" s="2"/>
    </row>
    <row r="380" spans="3:9" x14ac:dyDescent="0.35">
      <c r="C380" s="2" t="s">
        <v>38</v>
      </c>
      <c r="D380" s="3">
        <v>43098</v>
      </c>
      <c r="E380">
        <v>7465</v>
      </c>
      <c r="F380">
        <v>6658844646.8999996</v>
      </c>
      <c r="G380" s="2">
        <v>25.556440750573898</v>
      </c>
      <c r="H380" s="2"/>
      <c r="I380" s="2"/>
    </row>
    <row r="381" spans="3:9" x14ac:dyDescent="0.35">
      <c r="C381" s="2" t="s">
        <v>38</v>
      </c>
      <c r="D381" s="3">
        <v>42734</v>
      </c>
      <c r="E381">
        <v>6040</v>
      </c>
      <c r="F381">
        <v>5361542987.1999998</v>
      </c>
      <c r="G381" s="2">
        <v>8.4394338766048396</v>
      </c>
      <c r="H381" s="2"/>
      <c r="I381" s="2"/>
    </row>
    <row r="382" spans="3:9" x14ac:dyDescent="0.35">
      <c r="C382" s="2" t="s">
        <v>39</v>
      </c>
      <c r="D382" s="3">
        <v>46022</v>
      </c>
      <c r="E382">
        <v>2076</v>
      </c>
      <c r="F382">
        <v>6730629266.04</v>
      </c>
      <c r="G382" s="2">
        <v>-35.025700130258898</v>
      </c>
      <c r="H382" s="2"/>
      <c r="I382" s="2"/>
    </row>
    <row r="383" spans="3:9" x14ac:dyDescent="0.35">
      <c r="C383" s="2" t="s">
        <v>39</v>
      </c>
      <c r="D383" s="3">
        <v>45657</v>
      </c>
      <c r="E383">
        <v>3296</v>
      </c>
      <c r="F383">
        <v>10915578099.200001</v>
      </c>
      <c r="G383" s="2">
        <v>5.6378035189226496</v>
      </c>
      <c r="H383" s="2"/>
      <c r="I383" s="2"/>
    </row>
    <row r="384" spans="3:9" x14ac:dyDescent="0.35">
      <c r="C384" s="2" t="s">
        <v>39</v>
      </c>
      <c r="D384" s="3">
        <v>45289</v>
      </c>
      <c r="E384">
        <v>3190</v>
      </c>
      <c r="F384">
        <v>10782210463.200001</v>
      </c>
      <c r="G384" s="2">
        <v>18.0110900405239</v>
      </c>
      <c r="H384" s="2"/>
      <c r="I384" s="2"/>
    </row>
    <row r="385" spans="3:9" x14ac:dyDescent="0.35">
      <c r="C385" s="2" t="s">
        <v>39</v>
      </c>
      <c r="D385" s="3">
        <v>44925</v>
      </c>
      <c r="E385" s="2">
        <v>2759</v>
      </c>
      <c r="F385" s="2">
        <v>9316241634.6999607</v>
      </c>
      <c r="G385" s="2">
        <v>-2.3927897215130098</v>
      </c>
      <c r="H385" s="2"/>
      <c r="I385" s="2"/>
    </row>
    <row r="386" spans="3:9" x14ac:dyDescent="0.35">
      <c r="C386" s="2" t="s">
        <v>39</v>
      </c>
      <c r="D386" s="3">
        <v>44561</v>
      </c>
      <c r="E386" s="2">
        <v>2885</v>
      </c>
      <c r="F386" s="2">
        <v>9733955264.6000004</v>
      </c>
      <c r="G386" s="2">
        <v>20.7657563957154</v>
      </c>
      <c r="H386" s="2"/>
      <c r="I386" s="2"/>
    </row>
    <row r="387" spans="3:9" x14ac:dyDescent="0.35">
      <c r="C387" s="2" t="s">
        <v>39</v>
      </c>
      <c r="D387" s="3">
        <v>44196</v>
      </c>
      <c r="E387" s="2">
        <v>2443</v>
      </c>
      <c r="F387" s="2">
        <v>8232884617.2299404</v>
      </c>
      <c r="G387" s="2">
        <v>20.7843399515036</v>
      </c>
      <c r="H387" s="2"/>
    </row>
    <row r="388" spans="3:9" x14ac:dyDescent="0.35">
      <c r="C388" s="2" t="s">
        <v>39</v>
      </c>
      <c r="D388" s="3">
        <v>43830</v>
      </c>
      <c r="E388" s="2">
        <v>2065</v>
      </c>
      <c r="F388" s="2">
        <v>6954767334.5500002</v>
      </c>
      <c r="G388" s="2">
        <v>-10.703330956456099</v>
      </c>
      <c r="H388" s="2"/>
      <c r="I388" s="2"/>
    </row>
    <row r="389" spans="3:9" x14ac:dyDescent="0.35">
      <c r="C389" s="2" t="s">
        <v>39</v>
      </c>
      <c r="D389" s="3">
        <v>43465</v>
      </c>
      <c r="E389" s="2">
        <v>2369</v>
      </c>
      <c r="F389" s="2">
        <v>7969915451.7600002</v>
      </c>
      <c r="G389" s="2">
        <v>16.708084669646901</v>
      </c>
      <c r="H389" s="2"/>
      <c r="I389" s="2"/>
    </row>
    <row r="390" spans="3:9" x14ac:dyDescent="0.35">
      <c r="C390" s="2" t="s">
        <v>39</v>
      </c>
      <c r="D390" s="3">
        <v>43098</v>
      </c>
      <c r="E390">
        <v>2072</v>
      </c>
      <c r="F390">
        <v>6960469724.3199997</v>
      </c>
      <c r="G390" s="2">
        <v>5.9127698416006E-2</v>
      </c>
      <c r="H390" s="2"/>
      <c r="I390" s="2"/>
    </row>
    <row r="391" spans="3:9" x14ac:dyDescent="0.35">
      <c r="C391" s="2" t="s">
        <v>39</v>
      </c>
      <c r="D391" s="3">
        <v>42734</v>
      </c>
      <c r="E391">
        <v>2109</v>
      </c>
      <c r="F391">
        <v>7077456099.3599997</v>
      </c>
      <c r="G391" s="2">
        <v>14.0929911205459</v>
      </c>
      <c r="H391" s="2"/>
      <c r="I391" s="2"/>
    </row>
    <row r="392" spans="3:9" x14ac:dyDescent="0.35">
      <c r="C392" s="2" t="s">
        <v>40</v>
      </c>
      <c r="D392" s="3">
        <v>46022</v>
      </c>
      <c r="E392">
        <v>2054</v>
      </c>
      <c r="F392">
        <v>5969751577.1400003</v>
      </c>
      <c r="G392" s="2">
        <v>3.65984004144368</v>
      </c>
      <c r="H392" s="2"/>
      <c r="I392" s="2"/>
    </row>
    <row r="393" spans="3:9" x14ac:dyDescent="0.35">
      <c r="C393" s="2" t="s">
        <v>40</v>
      </c>
      <c r="D393" s="3">
        <v>45657</v>
      </c>
      <c r="E393">
        <v>2066</v>
      </c>
      <c r="F393">
        <v>6004534966.8800001</v>
      </c>
      <c r="G393" s="2">
        <v>27.403395956682999</v>
      </c>
      <c r="H393" s="2"/>
      <c r="I393" s="2"/>
    </row>
    <row r="394" spans="3:9" x14ac:dyDescent="0.35">
      <c r="C394" s="2" t="s">
        <v>40</v>
      </c>
      <c r="D394" s="3">
        <v>45289</v>
      </c>
      <c r="E394">
        <v>1680.5</v>
      </c>
      <c r="F394">
        <v>4883750456.6999998</v>
      </c>
      <c r="G394" s="2">
        <v>54.252988423589798</v>
      </c>
      <c r="H394" s="2"/>
      <c r="I394" s="2"/>
    </row>
    <row r="395" spans="3:9" x14ac:dyDescent="0.35">
      <c r="C395" s="2" t="s">
        <v>40</v>
      </c>
      <c r="D395" s="3">
        <v>44925</v>
      </c>
      <c r="E395">
        <v>1148</v>
      </c>
      <c r="F395">
        <v>3335542367.0799899</v>
      </c>
      <c r="G395" s="2">
        <v>-46.531303649530003</v>
      </c>
      <c r="H395" s="2"/>
      <c r="I395" s="2"/>
    </row>
    <row r="396" spans="3:9" x14ac:dyDescent="0.35">
      <c r="C396" s="2" t="s">
        <v>40</v>
      </c>
      <c r="D396" s="3">
        <v>44561</v>
      </c>
      <c r="E396">
        <v>2194</v>
      </c>
      <c r="F396">
        <v>6374721213.7399998</v>
      </c>
      <c r="G396" s="2">
        <v>27.114716107470802</v>
      </c>
      <c r="H396" s="2"/>
      <c r="I396" s="2"/>
    </row>
    <row r="397" spans="3:9" x14ac:dyDescent="0.35">
      <c r="C397" s="2" t="s">
        <v>40</v>
      </c>
      <c r="D397" s="3">
        <v>44196</v>
      </c>
      <c r="E397">
        <v>1726</v>
      </c>
      <c r="F397">
        <v>5077620879.9200001</v>
      </c>
      <c r="G397" s="2">
        <v>7.2049689442883897</v>
      </c>
      <c r="H397" s="2"/>
      <c r="I397" s="2"/>
    </row>
    <row r="398" spans="3:9" x14ac:dyDescent="0.35">
      <c r="C398" s="2" t="s">
        <v>40</v>
      </c>
      <c r="D398" s="3">
        <v>43830</v>
      </c>
      <c r="E398" s="2">
        <v>1610</v>
      </c>
      <c r="F398" s="2">
        <v>4676029743</v>
      </c>
      <c r="G398" s="2">
        <v>72.192513370109907</v>
      </c>
      <c r="H398" s="2"/>
      <c r="I398" s="2"/>
    </row>
    <row r="399" spans="3:9" x14ac:dyDescent="0.35">
      <c r="C399" s="2" t="s">
        <v>40</v>
      </c>
      <c r="D399" s="3">
        <v>43465</v>
      </c>
      <c r="E399">
        <v>935</v>
      </c>
      <c r="F399">
        <v>2714782018.3000002</v>
      </c>
      <c r="G399" s="2">
        <v>-18.4118673646134</v>
      </c>
      <c r="H399" s="2"/>
      <c r="I399" s="2"/>
    </row>
    <row r="400" spans="3:9" x14ac:dyDescent="0.35">
      <c r="C400" s="2" t="s">
        <v>40</v>
      </c>
      <c r="D400" s="3">
        <v>43098</v>
      </c>
      <c r="E400" s="2">
        <v>1146</v>
      </c>
      <c r="F400" s="2">
        <v>3325471543.98</v>
      </c>
      <c r="G400" s="2">
        <v>63.714285714522603</v>
      </c>
      <c r="H400" s="2"/>
      <c r="I400" s="2"/>
    </row>
    <row r="401" spans="3:9" x14ac:dyDescent="0.35">
      <c r="C401" s="2" t="s">
        <v>40</v>
      </c>
      <c r="D401" s="3">
        <v>42734</v>
      </c>
      <c r="E401" s="2">
        <v>700</v>
      </c>
      <c r="F401" s="2">
        <v>2030675436.99999</v>
      </c>
      <c r="G401" s="2">
        <v>11.5843567070542</v>
      </c>
      <c r="H401" s="2"/>
      <c r="I401" s="2"/>
    </row>
    <row r="402" spans="3:9" x14ac:dyDescent="0.35">
      <c r="C402" s="2" t="s">
        <v>41</v>
      </c>
      <c r="D402" s="3">
        <v>46022</v>
      </c>
      <c r="E402" s="2">
        <v>737</v>
      </c>
      <c r="F402" s="2">
        <v>7416079030.9099998</v>
      </c>
      <c r="G402" s="2">
        <v>58.459112712128103</v>
      </c>
      <c r="H402" s="2"/>
      <c r="I402" s="2"/>
    </row>
    <row r="403" spans="3:9" x14ac:dyDescent="0.35">
      <c r="C403" s="2" t="s">
        <v>41</v>
      </c>
      <c r="D403" s="3">
        <v>45657</v>
      </c>
      <c r="E403" s="2">
        <v>510</v>
      </c>
      <c r="F403" s="2">
        <v>5115870373.8000002</v>
      </c>
      <c r="G403" s="2">
        <v>5.3652137738180903</v>
      </c>
      <c r="H403" s="2"/>
      <c r="I403" s="2"/>
    </row>
    <row r="404" spans="3:9" x14ac:dyDescent="0.35">
      <c r="C404" s="2" t="s">
        <v>41</v>
      </c>
      <c r="D404" s="3">
        <v>45289</v>
      </c>
      <c r="E404" s="2">
        <v>535.20000000000005</v>
      </c>
      <c r="F404" s="2">
        <v>5360223931.368</v>
      </c>
      <c r="G404" s="2">
        <v>-2.7812281995264199</v>
      </c>
      <c r="H404" s="2"/>
      <c r="I404" s="2"/>
    </row>
    <row r="405" spans="3:9" x14ac:dyDescent="0.35">
      <c r="C405" s="2" t="s">
        <v>41</v>
      </c>
      <c r="D405" s="3">
        <v>44925</v>
      </c>
      <c r="E405">
        <v>608.6</v>
      </c>
      <c r="F405">
        <v>6088145175.0220003</v>
      </c>
      <c r="G405" s="2">
        <v>0.92475302371166601</v>
      </c>
      <c r="H405" s="2"/>
      <c r="I405" s="2"/>
    </row>
    <row r="406" spans="3:9" x14ac:dyDescent="0.35">
      <c r="C406" s="2" t="s">
        <v>41</v>
      </c>
      <c r="D406" s="3">
        <v>44561</v>
      </c>
      <c r="E406">
        <v>653.20000000000005</v>
      </c>
      <c r="F406">
        <v>6528969530.8559999</v>
      </c>
      <c r="G406" s="2">
        <v>5.8672633102286001E-2</v>
      </c>
      <c r="H406" s="2"/>
      <c r="I406" s="2"/>
    </row>
    <row r="407" spans="3:9" x14ac:dyDescent="0.35">
      <c r="C407" s="2" t="s">
        <v>41</v>
      </c>
      <c r="D407" s="3">
        <v>44196</v>
      </c>
      <c r="E407">
        <v>700.6</v>
      </c>
      <c r="F407">
        <v>7000620400.8640003</v>
      </c>
      <c r="G407" s="2">
        <v>0.62572168494665603</v>
      </c>
      <c r="H407" s="2"/>
      <c r="I407" s="2"/>
    </row>
    <row r="408" spans="3:9" x14ac:dyDescent="0.35">
      <c r="C408" s="2" t="s">
        <v>41</v>
      </c>
      <c r="D408" s="3">
        <v>43830</v>
      </c>
      <c r="E408">
        <v>749</v>
      </c>
      <c r="F408">
        <v>5404146930.5600004</v>
      </c>
      <c r="G408" s="2">
        <v>42.555287316652198</v>
      </c>
      <c r="H408" s="2"/>
      <c r="I408" s="2"/>
    </row>
    <row r="409" spans="3:9" x14ac:dyDescent="0.35">
      <c r="C409" s="2" t="s">
        <v>41</v>
      </c>
      <c r="D409" s="3">
        <v>43465</v>
      </c>
      <c r="E409" s="2">
        <v>563.4</v>
      </c>
      <c r="F409" s="2">
        <v>4063236371.6760001</v>
      </c>
      <c r="G409" s="2">
        <v>-14.521165740129</v>
      </c>
      <c r="H409" s="2"/>
    </row>
    <row r="410" spans="3:9" x14ac:dyDescent="0.35">
      <c r="C410" s="2" t="s">
        <v>41</v>
      </c>
      <c r="D410" s="3">
        <v>43098</v>
      </c>
      <c r="E410">
        <v>703.21819200000004</v>
      </c>
      <c r="F410">
        <v>3075071948.7399998</v>
      </c>
      <c r="G410" s="2">
        <v>13.558642508328299</v>
      </c>
      <c r="H410" s="2"/>
      <c r="I410" s="2"/>
    </row>
    <row r="411" spans="3:9" x14ac:dyDescent="0.35">
      <c r="C411" s="2" t="s">
        <v>41</v>
      </c>
      <c r="D411" s="3">
        <v>42734</v>
      </c>
      <c r="E411">
        <v>660.95316000000003</v>
      </c>
      <c r="F411">
        <v>2887446154.9499998</v>
      </c>
      <c r="G411" s="2">
        <v>9.3885662470039002E-2</v>
      </c>
      <c r="H411" s="2"/>
      <c r="I411" s="2"/>
    </row>
    <row r="412" spans="3:9" x14ac:dyDescent="0.35">
      <c r="C412" s="2" t="s">
        <v>42</v>
      </c>
      <c r="D412" s="3">
        <v>46022</v>
      </c>
      <c r="E412">
        <v>1282</v>
      </c>
      <c r="F412">
        <v>4901780126.0799999</v>
      </c>
      <c r="G412" s="2">
        <v>5.3862227744683802</v>
      </c>
      <c r="H412" s="2"/>
      <c r="I412" s="2"/>
    </row>
    <row r="413" spans="3:9" x14ac:dyDescent="0.35">
      <c r="C413" s="2" t="s">
        <v>42</v>
      </c>
      <c r="D413" s="3">
        <v>45657</v>
      </c>
      <c r="E413">
        <v>1244</v>
      </c>
      <c r="F413">
        <v>4978388256.0799904</v>
      </c>
      <c r="G413" s="2">
        <v>14.3145693593329</v>
      </c>
      <c r="H413" s="2"/>
      <c r="I413" s="2"/>
    </row>
    <row r="414" spans="3:9" x14ac:dyDescent="0.35">
      <c r="C414" s="2" t="s">
        <v>42</v>
      </c>
      <c r="D414" s="3">
        <v>45289</v>
      </c>
      <c r="E414">
        <v>1112</v>
      </c>
      <c r="F414">
        <v>3157686352</v>
      </c>
      <c r="G414" s="2">
        <v>20.182637685379898</v>
      </c>
      <c r="H414" s="2"/>
      <c r="I414" s="2"/>
    </row>
    <row r="415" spans="3:9" x14ac:dyDescent="0.35">
      <c r="C415" s="2" t="s">
        <v>42</v>
      </c>
      <c r="D415" s="3">
        <v>44925</v>
      </c>
      <c r="E415" s="2">
        <v>948</v>
      </c>
      <c r="F415" s="2">
        <v>2773654607.99999</v>
      </c>
      <c r="G415" s="2">
        <v>-5.8174564767727501</v>
      </c>
      <c r="H415" s="2"/>
      <c r="I415" s="2"/>
    </row>
    <row r="416" spans="3:9" x14ac:dyDescent="0.35">
      <c r="C416" s="2" t="s">
        <v>42</v>
      </c>
      <c r="D416" s="3">
        <v>44561</v>
      </c>
      <c r="E416" s="2">
        <v>1032</v>
      </c>
      <c r="F416" s="2">
        <v>3179769307.9200001</v>
      </c>
      <c r="G416" s="2">
        <v>16.508808466767</v>
      </c>
      <c r="H416" s="2"/>
      <c r="I416" s="2"/>
    </row>
    <row r="417" spans="3:9" x14ac:dyDescent="0.35">
      <c r="C417" s="2" t="s">
        <v>42</v>
      </c>
      <c r="D417" s="3">
        <v>44196</v>
      </c>
      <c r="E417" s="2">
        <v>901</v>
      </c>
      <c r="F417" s="2">
        <v>2897595105.8099999</v>
      </c>
      <c r="G417" s="2">
        <v>9.3678589383848507</v>
      </c>
      <c r="H417" s="2"/>
      <c r="I417" s="2"/>
    </row>
    <row r="418" spans="3:9" x14ac:dyDescent="0.35">
      <c r="C418" s="2" t="s">
        <v>42</v>
      </c>
      <c r="D418" s="3">
        <v>43830</v>
      </c>
      <c r="E418" s="2">
        <v>840</v>
      </c>
      <c r="F418" s="2">
        <v>2764152157.1999998</v>
      </c>
      <c r="G418" s="2">
        <v>24.293721661471601</v>
      </c>
      <c r="H418" s="2"/>
      <c r="I418" s="2"/>
    </row>
    <row r="419" spans="3:9" x14ac:dyDescent="0.35">
      <c r="C419" s="2" t="s">
        <v>42</v>
      </c>
      <c r="D419" s="3">
        <v>43465</v>
      </c>
      <c r="E419" s="2">
        <v>688</v>
      </c>
      <c r="F419" s="2">
        <v>2295347017.5999999</v>
      </c>
      <c r="G419" s="2">
        <v>-6.1444577563200298</v>
      </c>
      <c r="H419" s="2"/>
      <c r="I419" s="2"/>
    </row>
    <row r="420" spans="3:9" x14ac:dyDescent="0.35">
      <c r="C420" s="2" t="s">
        <v>42</v>
      </c>
      <c r="D420" s="3">
        <v>43098</v>
      </c>
      <c r="E420" s="2">
        <v>746.5</v>
      </c>
      <c r="F420" s="2">
        <v>2594775444.54</v>
      </c>
      <c r="G420" s="2">
        <v>19.188153898593399</v>
      </c>
      <c r="H420" s="2"/>
      <c r="I420" s="2"/>
    </row>
    <row r="421" spans="3:9" x14ac:dyDescent="0.35">
      <c r="C421" s="2" t="s">
        <v>42</v>
      </c>
      <c r="D421" s="3">
        <v>42734</v>
      </c>
      <c r="E421">
        <v>638</v>
      </c>
      <c r="F421">
        <v>3143451086.1599998</v>
      </c>
      <c r="G421" s="2">
        <v>26.357009556571398</v>
      </c>
      <c r="H421" s="2"/>
      <c r="I421" s="2"/>
    </row>
    <row r="422" spans="3:9" x14ac:dyDescent="0.35">
      <c r="C422" s="2" t="s">
        <v>43</v>
      </c>
      <c r="D422" s="3">
        <v>46022</v>
      </c>
      <c r="E422">
        <v>2695</v>
      </c>
      <c r="F422">
        <v>3763175161.9000001</v>
      </c>
      <c r="G422">
        <v>-16.9201210014275</v>
      </c>
      <c r="H422" s="2"/>
      <c r="I422" s="2"/>
    </row>
    <row r="423" spans="3:9" x14ac:dyDescent="0.35">
      <c r="C423" s="2" t="s">
        <v>43</v>
      </c>
      <c r="D423" s="3">
        <v>45657</v>
      </c>
      <c r="E423">
        <v>3385</v>
      </c>
      <c r="F423">
        <v>4726659711.6999998</v>
      </c>
      <c r="G423" s="2">
        <v>-31.286216876965302</v>
      </c>
      <c r="H423" s="2"/>
      <c r="I423" s="2"/>
    </row>
    <row r="424" spans="3:9" x14ac:dyDescent="0.35">
      <c r="C424" s="2" t="s">
        <v>43</v>
      </c>
      <c r="D424" s="3">
        <v>45289</v>
      </c>
      <c r="E424">
        <v>5050</v>
      </c>
      <c r="F424">
        <v>7051589821</v>
      </c>
      <c r="G424" s="2">
        <v>-22.1969687756485</v>
      </c>
      <c r="H424" s="2"/>
      <c r="I424" s="2"/>
    </row>
    <row r="425" spans="3:9" x14ac:dyDescent="0.35">
      <c r="C425" s="2" t="s">
        <v>43</v>
      </c>
      <c r="D425" s="3">
        <v>44925</v>
      </c>
      <c r="E425">
        <v>6604</v>
      </c>
      <c r="F425">
        <v>9221524589.6799297</v>
      </c>
      <c r="G425" s="2">
        <v>-33.785222757678099</v>
      </c>
      <c r="H425" s="2"/>
      <c r="I425" s="2"/>
    </row>
    <row r="426" spans="3:9" x14ac:dyDescent="0.35">
      <c r="C426" s="2" t="s">
        <v>43</v>
      </c>
      <c r="D426" s="3">
        <v>44561</v>
      </c>
      <c r="E426">
        <v>10120</v>
      </c>
      <c r="F426">
        <v>14119290517.1999</v>
      </c>
      <c r="G426" s="2">
        <v>55.329690895125701</v>
      </c>
      <c r="H426" s="2"/>
      <c r="I426" s="2"/>
    </row>
    <row r="427" spans="3:9" x14ac:dyDescent="0.35">
      <c r="C427" s="2" t="s">
        <v>43</v>
      </c>
      <c r="D427" s="3">
        <v>44196</v>
      </c>
      <c r="E427">
        <v>6596</v>
      </c>
      <c r="F427">
        <v>9202652198.7599697</v>
      </c>
      <c r="G427" s="2">
        <v>31.138119736754799</v>
      </c>
      <c r="H427" s="2"/>
      <c r="I427" s="2"/>
    </row>
    <row r="428" spans="3:9" x14ac:dyDescent="0.35">
      <c r="C428" s="2" t="s">
        <v>43</v>
      </c>
      <c r="D428" s="3">
        <v>43830</v>
      </c>
      <c r="E428">
        <v>5120</v>
      </c>
      <c r="F428">
        <v>6599100313.6000004</v>
      </c>
      <c r="G428" s="2">
        <v>11.125016844044</v>
      </c>
      <c r="H428" s="2"/>
      <c r="I428" s="2"/>
    </row>
    <row r="429" spans="3:9" x14ac:dyDescent="0.35">
      <c r="C429" s="2" t="s">
        <v>43</v>
      </c>
      <c r="D429" s="3">
        <v>43465</v>
      </c>
      <c r="E429">
        <v>4692.0995145405004</v>
      </c>
      <c r="F429">
        <v>6167475533.8500004</v>
      </c>
      <c r="G429" s="2">
        <v>7.7579242343406101</v>
      </c>
      <c r="H429" s="2"/>
      <c r="I429" s="2"/>
    </row>
    <row r="430" spans="3:9" x14ac:dyDescent="0.35">
      <c r="C430" s="2" t="s">
        <v>43</v>
      </c>
      <c r="D430" s="3">
        <v>43098</v>
      </c>
      <c r="E430" s="2">
        <v>4430.7040026311997</v>
      </c>
      <c r="F430" s="2">
        <v>5812817206.5600004</v>
      </c>
      <c r="G430" s="2">
        <v>41.198752822032702</v>
      </c>
      <c r="H430" s="2"/>
      <c r="I430" s="2"/>
    </row>
    <row r="431" spans="3:9" x14ac:dyDescent="0.35">
      <c r="C431" s="2" t="s">
        <v>43</v>
      </c>
      <c r="D431" s="3">
        <v>42734</v>
      </c>
      <c r="E431" s="2">
        <v>3200.8431266747998</v>
      </c>
      <c r="F431" s="2">
        <v>4194678409.5999999</v>
      </c>
      <c r="G431" s="2">
        <v>7.5044062675694096</v>
      </c>
      <c r="H431" s="2"/>
    </row>
    <row r="432" spans="3:9" x14ac:dyDescent="0.35">
      <c r="C432" s="2" t="s">
        <v>44</v>
      </c>
      <c r="D432" s="3">
        <v>46022</v>
      </c>
      <c r="E432" s="2">
        <v>1083</v>
      </c>
      <c r="F432" s="2">
        <v>10346598130.65</v>
      </c>
      <c r="G432" s="2">
        <v>-13.5131593713668</v>
      </c>
      <c r="H432" s="2"/>
      <c r="I432" s="2"/>
    </row>
    <row r="433" spans="3:9" x14ac:dyDescent="0.35">
      <c r="C433" s="2" t="s">
        <v>44</v>
      </c>
      <c r="D433" s="3">
        <v>45657</v>
      </c>
      <c r="E433" s="2">
        <v>1273</v>
      </c>
      <c r="F433" s="2">
        <v>12814446237.1999</v>
      </c>
      <c r="G433" s="2">
        <v>10.5201571024798</v>
      </c>
      <c r="H433" s="2"/>
      <c r="I433" s="2"/>
    </row>
    <row r="434" spans="3:9" x14ac:dyDescent="0.35">
      <c r="C434" s="2" t="s">
        <v>44</v>
      </c>
      <c r="D434" s="3">
        <v>45289</v>
      </c>
      <c r="E434" s="2">
        <v>1172.5</v>
      </c>
      <c r="F434" s="2">
        <v>12023609450.825001</v>
      </c>
      <c r="G434" s="2">
        <v>60.938222832974198</v>
      </c>
      <c r="H434" s="2"/>
      <c r="I434" s="2"/>
    </row>
    <row r="435" spans="3:9" x14ac:dyDescent="0.35">
      <c r="C435" s="2" t="s">
        <v>44</v>
      </c>
      <c r="D435" s="3">
        <v>44925</v>
      </c>
      <c r="E435" s="2">
        <v>745.6</v>
      </c>
      <c r="F435" s="2">
        <v>7635824352.2880001</v>
      </c>
      <c r="G435" s="2">
        <v>-10.434217640917799</v>
      </c>
      <c r="H435" s="2"/>
      <c r="I435" s="2"/>
    </row>
    <row r="436" spans="3:9" x14ac:dyDescent="0.35">
      <c r="C436" s="2" t="s">
        <v>44</v>
      </c>
      <c r="D436" s="3">
        <v>44561</v>
      </c>
      <c r="E436" s="2">
        <v>852.6</v>
      </c>
      <c r="F436" s="2">
        <v>8711244461.6819305</v>
      </c>
      <c r="G436" s="2">
        <v>50.785326823447797</v>
      </c>
      <c r="H436" s="2"/>
      <c r="I436" s="2"/>
    </row>
    <row r="437" spans="3:9" x14ac:dyDescent="0.35">
      <c r="C437" s="2" t="s">
        <v>44</v>
      </c>
      <c r="D437" s="3">
        <v>44196</v>
      </c>
      <c r="E437" s="2">
        <v>582</v>
      </c>
      <c r="F437" s="2">
        <v>6379196471.7599897</v>
      </c>
      <c r="G437" s="2">
        <v>-20.4868900271393</v>
      </c>
      <c r="H437" s="2"/>
      <c r="I437" s="2"/>
    </row>
    <row r="438" spans="3:9" x14ac:dyDescent="0.35">
      <c r="C438" s="2" t="s">
        <v>44</v>
      </c>
      <c r="D438" s="3">
        <v>43830</v>
      </c>
      <c r="E438" s="2">
        <v>749</v>
      </c>
      <c r="F438" s="2">
        <v>8172400343.0999899</v>
      </c>
      <c r="G438" s="2">
        <v>27.656560253307202</v>
      </c>
      <c r="H438" s="2"/>
      <c r="I438" s="2"/>
    </row>
    <row r="439" spans="3:9" x14ac:dyDescent="0.35">
      <c r="C439" s="2" t="s">
        <v>44</v>
      </c>
      <c r="D439" s="3">
        <v>43465</v>
      </c>
      <c r="E439" s="2">
        <v>601.4</v>
      </c>
      <c r="F439" s="2">
        <v>6528882247.1879997</v>
      </c>
      <c r="G439" s="2">
        <v>-22.867107690533899</v>
      </c>
      <c r="H439" s="2"/>
      <c r="I439" s="2"/>
    </row>
    <row r="440" spans="3:9" x14ac:dyDescent="0.35">
      <c r="C440" s="2" t="s">
        <v>44</v>
      </c>
      <c r="D440" s="3">
        <v>43098</v>
      </c>
      <c r="E440" s="2">
        <v>798</v>
      </c>
      <c r="F440" s="2">
        <v>8628791891.1599998</v>
      </c>
      <c r="G440" s="2">
        <v>24.558949344138099</v>
      </c>
      <c r="H440" s="2"/>
      <c r="I440" s="2"/>
    </row>
    <row r="441" spans="3:9" x14ac:dyDescent="0.35">
      <c r="C441" s="2" t="s">
        <v>44</v>
      </c>
      <c r="D441" s="3">
        <v>42734</v>
      </c>
      <c r="E441">
        <v>655</v>
      </c>
      <c r="F441">
        <v>7074816667.1000004</v>
      </c>
      <c r="G441" s="2">
        <v>11.1187858253705</v>
      </c>
      <c r="H441" s="2"/>
      <c r="I441" s="2"/>
    </row>
    <row r="442" spans="3:9" x14ac:dyDescent="0.35">
      <c r="C442" s="2" t="s">
        <v>45</v>
      </c>
      <c r="D442" s="3">
        <v>46022</v>
      </c>
      <c r="E442" s="2">
        <v>684.4</v>
      </c>
      <c r="F442" s="2">
        <v>20927115789.02</v>
      </c>
      <c r="G442" s="2">
        <v>56.044898618562399</v>
      </c>
      <c r="H442" s="2"/>
    </row>
    <row r="443" spans="3:9" x14ac:dyDescent="0.35">
      <c r="C443" s="2" t="s">
        <v>45</v>
      </c>
      <c r="D443" s="3">
        <v>45657</v>
      </c>
      <c r="E443">
        <v>468.8</v>
      </c>
      <c r="F443">
        <v>12552820804.4319</v>
      </c>
      <c r="G443" s="2">
        <v>15.8281824825683</v>
      </c>
      <c r="H443" s="2"/>
      <c r="I443" s="2"/>
    </row>
    <row r="444" spans="3:9" x14ac:dyDescent="0.35">
      <c r="C444" s="2" t="s">
        <v>45</v>
      </c>
      <c r="D444" s="3">
        <v>45289</v>
      </c>
      <c r="E444">
        <v>434.7</v>
      </c>
      <c r="F444">
        <v>11908550597.58</v>
      </c>
      <c r="G444" s="2">
        <v>6.2709462760796502</v>
      </c>
      <c r="H444" s="2"/>
      <c r="I444" s="2"/>
    </row>
    <row r="445" spans="3:9" x14ac:dyDescent="0.35">
      <c r="C445" s="2" t="s">
        <v>45</v>
      </c>
      <c r="D445" s="3">
        <v>44925</v>
      </c>
      <c r="E445">
        <v>442.8</v>
      </c>
      <c r="F445">
        <v>12433465641.9599</v>
      </c>
      <c r="G445" s="2">
        <v>15.6077043117612</v>
      </c>
      <c r="H445" s="2"/>
      <c r="I445" s="2"/>
    </row>
    <row r="446" spans="3:9" x14ac:dyDescent="0.35">
      <c r="C446" s="2" t="s">
        <v>45</v>
      </c>
      <c r="D446" s="3">
        <v>44561</v>
      </c>
      <c r="E446">
        <v>405.47613402849998</v>
      </c>
      <c r="F446">
        <v>15463401570.792</v>
      </c>
      <c r="G446" s="2">
        <v>32.776621621400501</v>
      </c>
      <c r="H446" s="2"/>
      <c r="I446" s="2"/>
    </row>
    <row r="447" spans="3:9" x14ac:dyDescent="0.35">
      <c r="C447" s="2" t="s">
        <v>45</v>
      </c>
      <c r="D447" s="3">
        <v>44196</v>
      </c>
      <c r="E447">
        <v>321.29834012200001</v>
      </c>
      <c r="F447">
        <v>12775443977.615999</v>
      </c>
      <c r="G447" s="2">
        <v>-19.067127477136601</v>
      </c>
      <c r="H447" s="2"/>
      <c r="I447" s="2"/>
    </row>
    <row r="448" spans="3:9" x14ac:dyDescent="0.35">
      <c r="C448" s="2" t="s">
        <v>45</v>
      </c>
      <c r="D448" s="3">
        <v>43830</v>
      </c>
      <c r="E448">
        <v>413.67655291850002</v>
      </c>
      <c r="F448">
        <v>16401279826.554899</v>
      </c>
      <c r="G448" s="2">
        <v>20.132314452408099</v>
      </c>
      <c r="H448" s="2"/>
      <c r="I448" s="2"/>
    </row>
    <row r="449" spans="3:9" x14ac:dyDescent="0.35">
      <c r="C449" s="2" t="s">
        <v>45</v>
      </c>
      <c r="D449" s="3">
        <v>43465</v>
      </c>
      <c r="E449">
        <v>370.99485459969998</v>
      </c>
      <c r="F449">
        <v>14653310311.439899</v>
      </c>
      <c r="G449" s="2">
        <v>-21.498909235830698</v>
      </c>
      <c r="H449" s="2"/>
      <c r="I449" s="2"/>
    </row>
    <row r="450" spans="3:9" x14ac:dyDescent="0.35">
      <c r="C450" s="2" t="s">
        <v>45</v>
      </c>
      <c r="D450" s="3">
        <v>43098</v>
      </c>
      <c r="E450">
        <v>500.42315274229998</v>
      </c>
      <c r="F450">
        <v>20324204456.630001</v>
      </c>
      <c r="G450" s="2">
        <v>9.1855379630660003</v>
      </c>
      <c r="H450" s="2"/>
      <c r="I450" s="2"/>
    </row>
    <row r="451" spans="3:9" x14ac:dyDescent="0.35">
      <c r="C451" s="2" t="s">
        <v>45</v>
      </c>
      <c r="D451" s="3">
        <v>42734</v>
      </c>
      <c r="E451" s="2">
        <v>480.56430699679998</v>
      </c>
      <c r="F451" s="2">
        <v>19755167586.816002</v>
      </c>
      <c r="G451" s="2">
        <v>-0.96771428964814699</v>
      </c>
      <c r="H451" s="2"/>
      <c r="I451" s="2"/>
    </row>
    <row r="452" spans="3:9" x14ac:dyDescent="0.35">
      <c r="C452" s="2" t="s">
        <v>46</v>
      </c>
      <c r="D452" s="3">
        <v>46022</v>
      </c>
      <c r="E452" s="2">
        <v>374.8</v>
      </c>
      <c r="F452" s="2">
        <v>33381966791.495998</v>
      </c>
      <c r="G452" s="2">
        <v>1.1420345732597901</v>
      </c>
      <c r="H452" s="2"/>
      <c r="I452" s="2"/>
    </row>
    <row r="453" spans="3:9" x14ac:dyDescent="0.35">
      <c r="C453" s="2" t="s">
        <v>46</v>
      </c>
      <c r="D453" s="3">
        <v>45657</v>
      </c>
      <c r="E453" s="2">
        <v>377.4</v>
      </c>
      <c r="F453" s="2">
        <v>34167383968.667999</v>
      </c>
      <c r="G453" s="2">
        <v>19.482961726583</v>
      </c>
      <c r="H453" s="2"/>
    </row>
    <row r="454" spans="3:9" x14ac:dyDescent="0.35">
      <c r="C454" s="2" t="s">
        <v>46</v>
      </c>
      <c r="D454" s="3">
        <v>45289</v>
      </c>
      <c r="E454" s="2">
        <v>321.64999999999998</v>
      </c>
      <c r="F454" s="2">
        <v>29703006727.4114</v>
      </c>
      <c r="G454" s="2">
        <v>-0.46384577624960499</v>
      </c>
      <c r="H454" s="2"/>
      <c r="I454" s="2"/>
    </row>
    <row r="455" spans="3:9" x14ac:dyDescent="0.35">
      <c r="C455" s="2" t="s">
        <v>46</v>
      </c>
      <c r="D455" s="3">
        <v>44925</v>
      </c>
      <c r="E455" s="2">
        <v>327.35000000000002</v>
      </c>
      <c r="F455" s="2">
        <v>30229377435.7785</v>
      </c>
      <c r="G455" s="2">
        <v>6.1618290902488697</v>
      </c>
      <c r="H455" s="2"/>
      <c r="I455" s="2"/>
    </row>
    <row r="456" spans="3:9" x14ac:dyDescent="0.35">
      <c r="C456" s="2" t="s">
        <v>46</v>
      </c>
      <c r="D456" s="3"/>
      <c r="E456" s="2" t="s">
        <v>100</v>
      </c>
      <c r="F456" s="2" t="s">
        <v>100</v>
      </c>
      <c r="G456" s="2" t="s">
        <v>100</v>
      </c>
      <c r="H456" s="2"/>
      <c r="I456" s="2"/>
    </row>
    <row r="457" spans="3:9" x14ac:dyDescent="0.35">
      <c r="C457" s="2" t="s">
        <v>47</v>
      </c>
      <c r="D457" s="3">
        <v>46022</v>
      </c>
      <c r="E457">
        <v>1141.5</v>
      </c>
      <c r="F457">
        <v>56636359014.029999</v>
      </c>
      <c r="G457" s="2">
        <v>25.5325162643197</v>
      </c>
      <c r="H457" s="2"/>
      <c r="I457" s="2"/>
    </row>
    <row r="458" spans="3:9" x14ac:dyDescent="0.35">
      <c r="C458" s="2" t="s">
        <v>47</v>
      </c>
      <c r="D458" s="3">
        <v>45657</v>
      </c>
      <c r="E458">
        <v>950</v>
      </c>
      <c r="F458">
        <v>46418575366</v>
      </c>
      <c r="G458" s="2">
        <v>3.7954711431891002</v>
      </c>
      <c r="H458" s="2"/>
      <c r="I458" s="2"/>
    </row>
    <row r="459" spans="3:9" x14ac:dyDescent="0.35">
      <c r="C459" s="2" t="s">
        <v>47</v>
      </c>
      <c r="D459" s="3">
        <v>45289</v>
      </c>
      <c r="E459">
        <v>972.42261199999996</v>
      </c>
      <c r="F459">
        <v>39021067625.259903</v>
      </c>
      <c r="G459" s="2">
        <v>11.9761579994006</v>
      </c>
      <c r="H459" s="2"/>
      <c r="I459" s="2"/>
    </row>
    <row r="460" spans="3:9" x14ac:dyDescent="0.35">
      <c r="C460" s="2" t="s">
        <v>47</v>
      </c>
      <c r="D460" s="3">
        <v>44925</v>
      </c>
      <c r="E460">
        <v>916.72430359999998</v>
      </c>
      <c r="F460">
        <v>36507844448.071999</v>
      </c>
      <c r="G460" s="2">
        <v>-1.35133978236243</v>
      </c>
      <c r="H460" s="2"/>
      <c r="I460" s="2"/>
    </row>
    <row r="461" spans="3:9" x14ac:dyDescent="0.35">
      <c r="C461" s="2" t="s">
        <v>47</v>
      </c>
      <c r="D461" s="3">
        <v>44561</v>
      </c>
      <c r="E461">
        <v>974.0770172</v>
      </c>
      <c r="F461">
        <v>38334052973.271896</v>
      </c>
      <c r="G461" s="2">
        <v>29.010679801888202</v>
      </c>
      <c r="H461" s="2"/>
      <c r="I461" s="2"/>
    </row>
    <row r="462" spans="3:9" x14ac:dyDescent="0.35">
      <c r="C462" s="2" t="s">
        <v>47</v>
      </c>
      <c r="D462" s="3">
        <v>44196</v>
      </c>
      <c r="E462">
        <v>795.03360999999995</v>
      </c>
      <c r="F462">
        <v>30451435338.849899</v>
      </c>
      <c r="G462" s="2">
        <v>-3.4497495458084599</v>
      </c>
      <c r="H462" s="2"/>
      <c r="I462" s="2"/>
    </row>
    <row r="463" spans="3:9" x14ac:dyDescent="0.35">
      <c r="C463" s="2" t="s">
        <v>47</v>
      </c>
      <c r="D463" s="3">
        <v>43830</v>
      </c>
      <c r="E463">
        <v>867.91935020000005</v>
      </c>
      <c r="F463">
        <v>32870483813.320999</v>
      </c>
      <c r="G463" s="2">
        <v>30.9090321286522</v>
      </c>
      <c r="H463" s="2"/>
      <c r="I463" s="2"/>
    </row>
    <row r="464" spans="3:9" x14ac:dyDescent="0.35">
      <c r="C464" s="2" t="s">
        <v>47</v>
      </c>
      <c r="D464" s="3">
        <v>43465</v>
      </c>
      <c r="E464" s="2">
        <v>702.38691879999999</v>
      </c>
      <c r="F464" s="2">
        <v>25972964096.43</v>
      </c>
      <c r="G464" s="2">
        <v>-7.7206970376366399</v>
      </c>
      <c r="H464" s="2"/>
      <c r="I464" s="2"/>
    </row>
    <row r="465" spans="3:9" x14ac:dyDescent="0.35">
      <c r="C465" s="2" t="s">
        <v>47</v>
      </c>
      <c r="D465" s="3">
        <v>43098</v>
      </c>
      <c r="E465">
        <v>804.31666140000004</v>
      </c>
      <c r="F465">
        <v>29541766594.839001</v>
      </c>
      <c r="G465" s="2">
        <v>-4.1433038303215701</v>
      </c>
      <c r="H465" s="2"/>
      <c r="I465" s="2"/>
    </row>
    <row r="466" spans="3:9" x14ac:dyDescent="0.35">
      <c r="C466" s="2" t="s">
        <v>47</v>
      </c>
      <c r="D466" s="4">
        <v>42734</v>
      </c>
      <c r="E466" s="2">
        <v>877.75966260550001</v>
      </c>
      <c r="F466" s="2">
        <v>35736769219.164001</v>
      </c>
      <c r="G466" s="2">
        <v>6.2440014887868802</v>
      </c>
      <c r="H466" s="2"/>
      <c r="I466" s="2"/>
    </row>
    <row r="467" spans="3:9" x14ac:dyDescent="0.35">
      <c r="C467" s="2" t="s">
        <v>48</v>
      </c>
      <c r="D467" s="4">
        <v>46022</v>
      </c>
      <c r="E467" s="2">
        <v>2352</v>
      </c>
      <c r="F467" s="2">
        <v>7504952558.8800001</v>
      </c>
      <c r="G467" s="2">
        <v>39.7044066368614</v>
      </c>
      <c r="H467" s="2"/>
      <c r="I467" s="2"/>
    </row>
    <row r="468" spans="3:9" x14ac:dyDescent="0.35">
      <c r="C468" s="2" t="s">
        <v>48</v>
      </c>
      <c r="D468" s="4">
        <v>45657</v>
      </c>
      <c r="E468" s="2">
        <v>1719</v>
      </c>
      <c r="F468" s="2">
        <v>5898026657.5200005</v>
      </c>
      <c r="G468" s="2">
        <v>0.121120728380308</v>
      </c>
      <c r="H468" s="2"/>
      <c r="I468" s="2"/>
    </row>
    <row r="469" spans="3:9" x14ac:dyDescent="0.35">
      <c r="C469" s="2" t="s">
        <v>48</v>
      </c>
      <c r="D469" s="4">
        <v>45289</v>
      </c>
      <c r="E469" s="2">
        <v>1763.5</v>
      </c>
      <c r="F469" s="2">
        <v>6128838449.5500002</v>
      </c>
      <c r="G469" s="2">
        <v>13.256489440628499</v>
      </c>
      <c r="H469" s="2"/>
      <c r="I469" s="2"/>
    </row>
    <row r="470" spans="3:9" x14ac:dyDescent="0.35">
      <c r="C470" s="2" t="s">
        <v>48</v>
      </c>
      <c r="D470" s="4">
        <v>44925</v>
      </c>
      <c r="E470" s="2">
        <v>1598.5</v>
      </c>
      <c r="F470" s="2">
        <v>5656611934.0150003</v>
      </c>
      <c r="G470" s="2">
        <v>3.95455730374294</v>
      </c>
      <c r="H470" s="2"/>
      <c r="I470" s="2"/>
    </row>
    <row r="471" spans="3:9" x14ac:dyDescent="0.35">
      <c r="C471" s="2" t="s">
        <v>48</v>
      </c>
      <c r="D471" s="4">
        <v>44561</v>
      </c>
      <c r="E471" s="2">
        <v>1579.5</v>
      </c>
      <c r="F471" s="2">
        <v>6204492738.9899998</v>
      </c>
      <c r="G471" s="2">
        <v>7.6917072787992398</v>
      </c>
      <c r="H471" s="2"/>
      <c r="I471" s="2"/>
    </row>
    <row r="472" spans="3:9" x14ac:dyDescent="0.35">
      <c r="C472" s="2" t="s">
        <v>48</v>
      </c>
      <c r="D472" s="3">
        <v>44196</v>
      </c>
      <c r="E472" s="2">
        <v>1504.5</v>
      </c>
      <c r="F472" s="2">
        <v>5963108257.3199997</v>
      </c>
      <c r="G472" s="2">
        <v>-8.5363174540382705</v>
      </c>
      <c r="H472" s="2"/>
      <c r="I472" s="2"/>
    </row>
    <row r="473" spans="3:9" x14ac:dyDescent="0.35">
      <c r="C473" s="2" t="s">
        <v>48</v>
      </c>
      <c r="D473" s="3">
        <v>43830</v>
      </c>
      <c r="E473" s="2">
        <v>1687</v>
      </c>
      <c r="F473" s="2">
        <v>6683838666.3999996</v>
      </c>
      <c r="G473" s="2">
        <v>27.3824798208713</v>
      </c>
      <c r="H473" s="2"/>
      <c r="I473" s="2"/>
    </row>
    <row r="474" spans="3:9" x14ac:dyDescent="0.35">
      <c r="C474" s="2" t="s">
        <v>48</v>
      </c>
      <c r="D474" s="3">
        <v>43465</v>
      </c>
      <c r="E474" s="2">
        <v>1364</v>
      </c>
      <c r="F474" s="2">
        <v>5400600458</v>
      </c>
      <c r="G474" s="2">
        <v>-5.42148499762179</v>
      </c>
      <c r="H474" s="2"/>
      <c r="I474" s="2"/>
    </row>
    <row r="475" spans="3:9" x14ac:dyDescent="0.35">
      <c r="C475" s="2" t="s">
        <v>48</v>
      </c>
      <c r="D475" s="3">
        <v>43098</v>
      </c>
      <c r="E475" s="2">
        <v>1490</v>
      </c>
      <c r="F475" s="2">
        <v>5896380590.8999996</v>
      </c>
      <c r="G475" s="2">
        <v>8.1553398931949896</v>
      </c>
      <c r="H475" s="2"/>
    </row>
    <row r="476" spans="3:9" x14ac:dyDescent="0.35">
      <c r="C476" s="2" t="s">
        <v>48</v>
      </c>
      <c r="D476" s="3">
        <v>42734</v>
      </c>
      <c r="E476" s="2">
        <v>1416</v>
      </c>
      <c r="F476" s="2">
        <v>5599049609.2799997</v>
      </c>
      <c r="G476" s="2">
        <v>55.6468688241441</v>
      </c>
      <c r="H476" s="2"/>
      <c r="I476" s="2"/>
    </row>
    <row r="477" spans="3:9" x14ac:dyDescent="0.35">
      <c r="C477" s="2" t="s">
        <v>49</v>
      </c>
      <c r="D477" s="3">
        <v>46022</v>
      </c>
      <c r="E477">
        <v>1050</v>
      </c>
      <c r="F477">
        <v>6676056240</v>
      </c>
      <c r="G477" s="2">
        <v>-16.353478308362501</v>
      </c>
      <c r="H477" s="2"/>
      <c r="I477" s="2"/>
    </row>
    <row r="478" spans="3:9" x14ac:dyDescent="0.35">
      <c r="C478" s="2" t="s">
        <v>49</v>
      </c>
      <c r="D478" s="3">
        <v>45657</v>
      </c>
      <c r="E478">
        <v>1282</v>
      </c>
      <c r="F478">
        <v>8541515133.4200001</v>
      </c>
      <c r="G478" s="2">
        <v>35.941255268347298</v>
      </c>
      <c r="H478" s="2"/>
      <c r="I478" s="2"/>
    </row>
    <row r="479" spans="3:9" x14ac:dyDescent="0.35">
      <c r="C479" s="2" t="s">
        <v>49</v>
      </c>
      <c r="D479" s="3">
        <v>45289</v>
      </c>
      <c r="E479">
        <v>964.2</v>
      </c>
      <c r="F479">
        <v>6733423071.0119896</v>
      </c>
      <c r="G479" s="2">
        <v>5.3922136744725604</v>
      </c>
      <c r="H479" s="2"/>
      <c r="I479" s="2"/>
    </row>
    <row r="480" spans="3:9" x14ac:dyDescent="0.35">
      <c r="C480" s="2" t="s">
        <v>49</v>
      </c>
      <c r="D480" s="3">
        <v>44925</v>
      </c>
      <c r="E480">
        <v>939.2</v>
      </c>
      <c r="F480">
        <v>6726977698.4319897</v>
      </c>
      <c r="G480" s="2">
        <v>57.160422021211197</v>
      </c>
      <c r="H480" s="2"/>
      <c r="I480" s="2"/>
    </row>
    <row r="481" spans="3:9" x14ac:dyDescent="0.35">
      <c r="C481" s="2" t="s">
        <v>49</v>
      </c>
      <c r="D481" s="3">
        <v>44561</v>
      </c>
      <c r="E481">
        <v>613.20000000000005</v>
      </c>
      <c r="F481">
        <v>4640709643.2479897</v>
      </c>
      <c r="G481" s="2">
        <v>-7.5737722079767504</v>
      </c>
      <c r="H481" s="2"/>
      <c r="I481" s="2"/>
    </row>
    <row r="482" spans="3:9" x14ac:dyDescent="0.35">
      <c r="C482" s="2" t="s">
        <v>49</v>
      </c>
      <c r="D482" s="3">
        <v>44196</v>
      </c>
      <c r="E482">
        <v>680.4</v>
      </c>
      <c r="F482">
        <v>5125164968.9519997</v>
      </c>
      <c r="G482">
        <v>10.6483857463255</v>
      </c>
      <c r="H482" s="2"/>
      <c r="I482" s="2"/>
    </row>
    <row r="483" spans="3:9" x14ac:dyDescent="0.35">
      <c r="C483" s="2" t="s">
        <v>49</v>
      </c>
      <c r="D483" s="3">
        <v>43830</v>
      </c>
      <c r="E483">
        <v>637</v>
      </c>
      <c r="F483">
        <v>4981970177.72999</v>
      </c>
      <c r="G483" s="2">
        <v>-30.551017318883801</v>
      </c>
      <c r="H483" s="2"/>
      <c r="I483" s="2"/>
    </row>
    <row r="484" spans="3:9" x14ac:dyDescent="0.35">
      <c r="C484" s="2" t="s">
        <v>49</v>
      </c>
      <c r="D484" s="3">
        <v>43465</v>
      </c>
      <c r="E484">
        <v>938.4</v>
      </c>
      <c r="F484">
        <v>7329637519.1280003</v>
      </c>
      <c r="G484" s="2">
        <v>30.365402173248501</v>
      </c>
      <c r="H484" s="2"/>
      <c r="I484" s="2"/>
    </row>
    <row r="485" spans="3:9" x14ac:dyDescent="0.35">
      <c r="C485" s="2" t="s">
        <v>49</v>
      </c>
      <c r="D485" s="3">
        <v>43098</v>
      </c>
      <c r="E485">
        <v>736</v>
      </c>
      <c r="F485">
        <v>5908427002.8800001</v>
      </c>
      <c r="G485" s="2">
        <v>-4.5098023754869399</v>
      </c>
      <c r="H485" s="2"/>
      <c r="I485" s="2"/>
    </row>
    <row r="486" spans="3:9" x14ac:dyDescent="0.35">
      <c r="C486" s="2" t="s">
        <v>49</v>
      </c>
      <c r="D486" s="3">
        <v>42734</v>
      </c>
      <c r="E486" s="2">
        <v>818.5</v>
      </c>
      <c r="F486" s="2">
        <v>6729064976.7849998</v>
      </c>
      <c r="G486" s="2">
        <v>18.207544899303599</v>
      </c>
      <c r="H486" s="2"/>
      <c r="I486" s="2"/>
    </row>
    <row r="487" spans="3:9" x14ac:dyDescent="0.35">
      <c r="C487" s="2" t="s">
        <v>50</v>
      </c>
      <c r="D487" s="3">
        <v>46022</v>
      </c>
      <c r="E487" s="2">
        <v>84.46</v>
      </c>
      <c r="F487" s="2">
        <v>4177673787.6167998</v>
      </c>
      <c r="G487" s="2">
        <v>-10.8571534716515</v>
      </c>
      <c r="H487" s="2"/>
      <c r="I487" s="2"/>
    </row>
    <row r="488" spans="3:9" x14ac:dyDescent="0.35">
      <c r="C488" s="2" t="s">
        <v>50</v>
      </c>
      <c r="D488" s="3">
        <v>45657</v>
      </c>
      <c r="E488" s="2">
        <v>95.9</v>
      </c>
      <c r="F488" s="2">
        <v>4970627179.4549999</v>
      </c>
      <c r="G488" s="2">
        <v>-41.772872235293697</v>
      </c>
      <c r="H488" s="2"/>
      <c r="I488" s="2"/>
    </row>
    <row r="489" spans="3:9" x14ac:dyDescent="0.35">
      <c r="C489" s="2" t="s">
        <v>50</v>
      </c>
      <c r="D489" s="3">
        <v>45289</v>
      </c>
      <c r="E489" s="2">
        <v>165.95</v>
      </c>
      <c r="F489" s="2">
        <v>8601413768.8274994</v>
      </c>
      <c r="G489" s="2">
        <v>32.427608820240202</v>
      </c>
      <c r="H489" s="2"/>
      <c r="I489" s="2"/>
    </row>
    <row r="490" spans="3:9" x14ac:dyDescent="0.35">
      <c r="C490" s="2" t="s">
        <v>50</v>
      </c>
      <c r="D490" s="3">
        <v>44925</v>
      </c>
      <c r="E490" s="2">
        <v>126.15</v>
      </c>
      <c r="F490" s="2">
        <v>6506988242.3175001</v>
      </c>
      <c r="G490" s="2">
        <v>-41.852773384640599</v>
      </c>
      <c r="H490" s="2"/>
      <c r="I490" s="2"/>
    </row>
    <row r="491" spans="3:9" x14ac:dyDescent="0.35">
      <c r="C491" s="2" t="s">
        <v>50</v>
      </c>
      <c r="D491" s="3">
        <v>44561</v>
      </c>
      <c r="E491" s="2">
        <v>217.8</v>
      </c>
      <c r="F491" s="2">
        <v>11234419652.6099</v>
      </c>
      <c r="G491" s="2">
        <v>26.827714325321899</v>
      </c>
      <c r="H491" s="2"/>
      <c r="I491" s="2"/>
    </row>
    <row r="492" spans="3:9" x14ac:dyDescent="0.35">
      <c r="C492" s="2" t="s">
        <v>50</v>
      </c>
      <c r="D492" s="3">
        <v>44196</v>
      </c>
      <c r="E492">
        <v>172</v>
      </c>
      <c r="F492">
        <v>8369805175.9999905</v>
      </c>
      <c r="G492" s="2">
        <v>2.6988297106379302</v>
      </c>
      <c r="H492" s="2"/>
      <c r="I492" s="2"/>
    </row>
    <row r="493" spans="3:9" x14ac:dyDescent="0.35">
      <c r="C493" s="2" t="s">
        <v>50</v>
      </c>
      <c r="D493" s="3">
        <v>43830</v>
      </c>
      <c r="E493">
        <v>167.48</v>
      </c>
      <c r="F493">
        <v>8149854481.8399801</v>
      </c>
      <c r="G493" s="2">
        <v>140.752013280185</v>
      </c>
      <c r="H493" s="2"/>
      <c r="I493" s="2"/>
    </row>
    <row r="494" spans="3:9" x14ac:dyDescent="0.35">
      <c r="C494" s="2" t="s">
        <v>50</v>
      </c>
      <c r="D494" s="3">
        <v>43465</v>
      </c>
      <c r="E494">
        <v>69.760000000000005</v>
      </c>
      <c r="F494">
        <v>3394637262.0799999</v>
      </c>
      <c r="G494" s="2">
        <v>4.1494565413985098</v>
      </c>
      <c r="H494" s="2"/>
      <c r="I494" s="2"/>
    </row>
    <row r="495" spans="3:9" x14ac:dyDescent="0.35">
      <c r="C495" s="2" t="s">
        <v>50</v>
      </c>
      <c r="D495" s="3">
        <v>43098</v>
      </c>
      <c r="E495">
        <v>67.239999999999995</v>
      </c>
      <c r="F495">
        <v>3272009883.9200001</v>
      </c>
      <c r="G495" s="2">
        <v>6.1869171330596799</v>
      </c>
      <c r="H495" s="2"/>
      <c r="I495" s="2"/>
    </row>
    <row r="496" spans="3:9" x14ac:dyDescent="0.35">
      <c r="C496" s="2" t="s">
        <v>50</v>
      </c>
      <c r="D496" s="3">
        <v>42734</v>
      </c>
      <c r="E496">
        <v>63.58</v>
      </c>
      <c r="F496">
        <v>3093908215.6399999</v>
      </c>
      <c r="G496" s="2">
        <v>53.519400429850101</v>
      </c>
      <c r="H496" s="2"/>
      <c r="I496" s="2"/>
    </row>
    <row r="497" spans="3:9" x14ac:dyDescent="0.35">
      <c r="C497" s="2" t="s">
        <v>51</v>
      </c>
      <c r="D497" s="3">
        <v>46022</v>
      </c>
      <c r="E497" s="2">
        <v>5994</v>
      </c>
      <c r="F497" s="2">
        <v>102172541472.14301</v>
      </c>
      <c r="G497" s="2">
        <v>34.760834553194002</v>
      </c>
      <c r="H497" s="2"/>
    </row>
    <row r="498" spans="3:9" x14ac:dyDescent="0.35">
      <c r="C498" s="2" t="s">
        <v>51</v>
      </c>
      <c r="D498" s="3">
        <v>45657</v>
      </c>
      <c r="E498">
        <v>4723</v>
      </c>
      <c r="F498">
        <v>80738417950.223099</v>
      </c>
      <c r="G498" s="2">
        <v>-13.4657491844833</v>
      </c>
      <c r="H498" s="2"/>
      <c r="I498" s="2"/>
    </row>
    <row r="499" spans="3:9" x14ac:dyDescent="0.35">
      <c r="C499" s="2" t="s">
        <v>51</v>
      </c>
      <c r="D499" s="3">
        <v>45289</v>
      </c>
      <c r="E499">
        <v>5842</v>
      </c>
      <c r="F499">
        <v>100044343747.54401</v>
      </c>
      <c r="G499" s="2">
        <v>7.0294580360459102</v>
      </c>
      <c r="H499" s="2"/>
      <c r="I499" s="2"/>
    </row>
    <row r="500" spans="3:9" x14ac:dyDescent="0.35">
      <c r="C500" s="2" t="s">
        <v>51</v>
      </c>
      <c r="D500" s="3">
        <v>44925</v>
      </c>
      <c r="E500">
        <v>5798</v>
      </c>
      <c r="F500">
        <v>96792591139.119598</v>
      </c>
      <c r="G500" s="2">
        <v>31.923378939071199</v>
      </c>
      <c r="H500" s="2"/>
      <c r="I500" s="2"/>
    </row>
    <row r="501" spans="3:9" x14ac:dyDescent="0.35">
      <c r="C501" s="2" t="s">
        <v>51</v>
      </c>
      <c r="D501" s="3">
        <v>44561</v>
      </c>
      <c r="E501">
        <v>4853.6516119999997</v>
      </c>
      <c r="F501">
        <v>81001273366.5896</v>
      </c>
      <c r="G501" s="2">
        <v>0.33867995446645899</v>
      </c>
      <c r="H501" s="2"/>
      <c r="I501" s="2"/>
    </row>
    <row r="502" spans="3:9" x14ac:dyDescent="0.35">
      <c r="C502" s="2" t="s">
        <v>51</v>
      </c>
      <c r="D502" s="3">
        <v>44196</v>
      </c>
      <c r="E502" s="2">
        <v>5253.4996586785001</v>
      </c>
      <c r="F502" s="2">
        <v>91983609032.474899</v>
      </c>
      <c r="G502" s="2">
        <v>30.6148697399071</v>
      </c>
      <c r="H502" s="2"/>
      <c r="I502" s="2"/>
    </row>
    <row r="503" spans="3:9" x14ac:dyDescent="0.35">
      <c r="C503" s="2" t="s">
        <v>51</v>
      </c>
      <c r="D503" s="3">
        <v>43830</v>
      </c>
      <c r="E503" s="2">
        <v>4324.7731193837999</v>
      </c>
      <c r="F503" s="2">
        <v>76019452612.163696</v>
      </c>
      <c r="G503" s="2">
        <v>37.054757307710403</v>
      </c>
      <c r="H503" s="2"/>
    </row>
    <row r="504" spans="3:9" x14ac:dyDescent="0.35">
      <c r="C504" s="2" t="s">
        <v>51</v>
      </c>
      <c r="D504" s="3">
        <v>43465</v>
      </c>
      <c r="E504" s="2">
        <v>3394.7300928434001</v>
      </c>
      <c r="F504" s="2">
        <v>63771611605.320396</v>
      </c>
      <c r="G504" s="2">
        <v>0.302573102194792</v>
      </c>
      <c r="H504" s="2"/>
      <c r="I504" s="2"/>
    </row>
    <row r="505" spans="3:9" x14ac:dyDescent="0.35">
      <c r="C505" s="2" t="s">
        <v>51</v>
      </c>
      <c r="D505" s="3">
        <v>43098</v>
      </c>
      <c r="E505" s="2">
        <v>3587.6745377985999</v>
      </c>
      <c r="F505" s="2">
        <v>70954379597.958298</v>
      </c>
      <c r="G505" s="2">
        <v>31.547476500884699</v>
      </c>
      <c r="H505" s="2"/>
      <c r="I505" s="2"/>
    </row>
    <row r="506" spans="3:9" x14ac:dyDescent="0.35">
      <c r="C506" s="2" t="s">
        <v>51</v>
      </c>
      <c r="D506" s="3">
        <v>42734</v>
      </c>
      <c r="E506" s="2">
        <v>2874.5991952402001</v>
      </c>
      <c r="F506" s="2">
        <v>58284964576.910797</v>
      </c>
      <c r="G506" s="2">
        <v>68.370952466731296</v>
      </c>
      <c r="H506" s="2"/>
      <c r="I506" s="2"/>
    </row>
    <row r="507" spans="3:9" x14ac:dyDescent="0.35">
      <c r="C507" s="2" t="s">
        <v>52</v>
      </c>
      <c r="D507" s="3">
        <v>46022</v>
      </c>
      <c r="E507">
        <v>832</v>
      </c>
      <c r="F507">
        <v>4987922417.9200001</v>
      </c>
      <c r="G507" s="2">
        <v>4.8416841701101703</v>
      </c>
      <c r="H507" s="2"/>
      <c r="I507" s="2"/>
    </row>
    <row r="508" spans="3:9" x14ac:dyDescent="0.35">
      <c r="C508" s="2" t="s">
        <v>52</v>
      </c>
      <c r="D508" s="3">
        <v>45657</v>
      </c>
      <c r="E508">
        <v>816.5</v>
      </c>
      <c r="F508">
        <v>5217452473.0999899</v>
      </c>
      <c r="G508" s="2">
        <v>59.641325926556597</v>
      </c>
      <c r="H508" s="2"/>
      <c r="I508" s="2"/>
    </row>
    <row r="509" spans="3:9" x14ac:dyDescent="0.35">
      <c r="C509" s="2" t="s">
        <v>52</v>
      </c>
      <c r="D509" s="3">
        <v>45289</v>
      </c>
      <c r="E509">
        <v>522</v>
      </c>
      <c r="F509">
        <v>3510671536.8000002</v>
      </c>
      <c r="G509" s="2">
        <v>-21.456073573534798</v>
      </c>
      <c r="H509" s="2"/>
      <c r="I509" s="2"/>
    </row>
    <row r="510" spans="3:9" x14ac:dyDescent="0.35">
      <c r="C510" s="2" t="s">
        <v>52</v>
      </c>
      <c r="D510" s="3">
        <v>44925</v>
      </c>
      <c r="E510">
        <v>679.5</v>
      </c>
      <c r="F510">
        <v>4560831315.8999901</v>
      </c>
      <c r="G510" s="2">
        <v>49.611971906983399</v>
      </c>
      <c r="H510" s="2"/>
      <c r="I510" s="2"/>
    </row>
    <row r="511" spans="3:9" x14ac:dyDescent="0.35">
      <c r="C511" s="2" t="s">
        <v>52</v>
      </c>
      <c r="D511" s="3">
        <v>44561</v>
      </c>
      <c r="E511">
        <v>466.3</v>
      </c>
      <c r="F511">
        <v>2840889761.803</v>
      </c>
      <c r="G511" s="2">
        <v>27.893582008436301</v>
      </c>
      <c r="H511" s="2"/>
      <c r="I511" s="2"/>
    </row>
    <row r="512" spans="3:9" x14ac:dyDescent="0.35">
      <c r="C512" s="2" t="s">
        <v>52</v>
      </c>
      <c r="D512" s="3">
        <v>44196</v>
      </c>
      <c r="E512">
        <v>364.6</v>
      </c>
      <c r="F512">
        <v>2220204453.4419899</v>
      </c>
      <c r="G512">
        <v>-33.413709633936797</v>
      </c>
      <c r="H512" s="2"/>
      <c r="I512" s="2"/>
    </row>
    <row r="513" spans="3:9" x14ac:dyDescent="0.35">
      <c r="C513" s="2" t="s">
        <v>52</v>
      </c>
      <c r="D513" s="3">
        <v>43830</v>
      </c>
      <c r="E513">
        <v>556</v>
      </c>
      <c r="F513">
        <v>2945377006.95999</v>
      </c>
      <c r="G513" s="2">
        <v>12.8072490994078</v>
      </c>
      <c r="H513" s="2"/>
      <c r="I513" s="2"/>
    </row>
    <row r="514" spans="3:9" x14ac:dyDescent="0.35">
      <c r="C514" s="2" t="s">
        <v>52</v>
      </c>
      <c r="D514" s="3">
        <v>43465</v>
      </c>
      <c r="E514" s="2">
        <v>503.5</v>
      </c>
      <c r="F514" s="2">
        <v>2657277999.4850001</v>
      </c>
      <c r="G514" s="2">
        <v>-3.7922118736449701</v>
      </c>
      <c r="H514" s="2"/>
    </row>
    <row r="515" spans="3:9" x14ac:dyDescent="0.35">
      <c r="C515" s="2" t="s">
        <v>52</v>
      </c>
      <c r="D515" s="3">
        <v>43098</v>
      </c>
      <c r="E515">
        <v>534.5</v>
      </c>
      <c r="F515">
        <v>2810283586.3849902</v>
      </c>
      <c r="G515" s="2">
        <v>44.503224232620703</v>
      </c>
      <c r="H515" s="2"/>
      <c r="I515" s="2"/>
    </row>
    <row r="516" spans="3:9" x14ac:dyDescent="0.35">
      <c r="C516" s="2" t="s">
        <v>52</v>
      </c>
      <c r="D516" s="3">
        <v>42734</v>
      </c>
      <c r="E516">
        <v>378.66693750000002</v>
      </c>
      <c r="F516">
        <v>2027994192.5</v>
      </c>
      <c r="G516" s="2">
        <v>7.1864800739793502</v>
      </c>
      <c r="H516" s="2"/>
      <c r="I516" s="2"/>
    </row>
    <row r="517" spans="3:9" x14ac:dyDescent="0.35">
      <c r="C517" s="2" t="s">
        <v>53</v>
      </c>
      <c r="D517" s="3">
        <v>46022</v>
      </c>
      <c r="E517" s="2">
        <v>13327.220160000001</v>
      </c>
      <c r="F517" s="2">
        <v>16749328521.6</v>
      </c>
      <c r="G517" s="2">
        <v>46.771220587210898</v>
      </c>
      <c r="H517" s="2"/>
      <c r="I517" s="2"/>
    </row>
    <row r="518" spans="3:9" x14ac:dyDescent="0.35">
      <c r="C518" s="2" t="s">
        <v>53</v>
      </c>
      <c r="D518" s="3">
        <v>45657</v>
      </c>
      <c r="E518" s="2">
        <v>9253.0655760000009</v>
      </c>
      <c r="F518" s="2">
        <v>11801769533.759899</v>
      </c>
      <c r="G518" s="2">
        <v>19.7162615579918</v>
      </c>
      <c r="H518" s="2"/>
      <c r="I518" s="2"/>
    </row>
    <row r="519" spans="3:9" x14ac:dyDescent="0.35">
      <c r="C519" s="2" t="s">
        <v>53</v>
      </c>
      <c r="D519" s="3">
        <v>45289</v>
      </c>
      <c r="E519" s="2">
        <v>7908.6530160000002</v>
      </c>
      <c r="F519" s="2">
        <v>10353997160.1</v>
      </c>
      <c r="G519" s="2">
        <v>43.9714702878235</v>
      </c>
      <c r="H519" s="2"/>
      <c r="I519" s="2"/>
    </row>
    <row r="520" spans="3:9" x14ac:dyDescent="0.35">
      <c r="C520" s="2" t="s">
        <v>53</v>
      </c>
      <c r="D520" s="3">
        <v>44925</v>
      </c>
      <c r="E520" s="2">
        <v>5656.274872</v>
      </c>
      <c r="F520" s="2">
        <v>7505030623.54</v>
      </c>
      <c r="G520" s="2">
        <v>-24.969278809421098</v>
      </c>
      <c r="H520" s="2"/>
      <c r="I520" s="2"/>
    </row>
    <row r="521" spans="3:9" x14ac:dyDescent="0.35">
      <c r="C521" s="2" t="s">
        <v>53</v>
      </c>
      <c r="D521" s="3">
        <v>44561</v>
      </c>
      <c r="E521" s="2">
        <v>7781.0709431389996</v>
      </c>
      <c r="F521" s="2">
        <v>10835365994</v>
      </c>
      <c r="G521" s="2">
        <v>16.6021287332463</v>
      </c>
      <c r="H521" s="2"/>
      <c r="I521" s="2"/>
    </row>
    <row r="522" spans="3:9" x14ac:dyDescent="0.35">
      <c r="C522" s="2" t="s">
        <v>53</v>
      </c>
      <c r="D522" s="3">
        <v>44196</v>
      </c>
      <c r="E522">
        <v>6673.1808652809996</v>
      </c>
      <c r="F522">
        <v>9420785697.3600006</v>
      </c>
      <c r="G522" s="2">
        <v>0.96893702037614804</v>
      </c>
      <c r="H522" s="2"/>
      <c r="I522" s="2"/>
    </row>
    <row r="523" spans="3:9" x14ac:dyDescent="0.35">
      <c r="C523" s="2" t="s">
        <v>53</v>
      </c>
      <c r="D523" s="3">
        <v>43830</v>
      </c>
      <c r="E523">
        <v>6609.1424375589004</v>
      </c>
      <c r="F523">
        <v>9350005254.6999302</v>
      </c>
      <c r="G523" s="2">
        <v>80.909225806775694</v>
      </c>
      <c r="H523" s="2"/>
      <c r="I523" s="2"/>
    </row>
    <row r="524" spans="3:9" x14ac:dyDescent="0.35">
      <c r="C524" s="2" t="s">
        <v>53</v>
      </c>
      <c r="D524" s="3">
        <v>43465</v>
      </c>
      <c r="E524">
        <v>3758.4906623392999</v>
      </c>
      <c r="F524">
        <v>5574846429.2299995</v>
      </c>
      <c r="G524" s="2">
        <v>-8.3050251910675499</v>
      </c>
      <c r="H524" s="2"/>
      <c r="I524" s="2"/>
    </row>
    <row r="525" spans="3:9" x14ac:dyDescent="0.35">
      <c r="C525" s="2" t="s">
        <v>53</v>
      </c>
      <c r="D525" s="3">
        <v>43098</v>
      </c>
      <c r="E525" s="2">
        <v>4221.4302245098997</v>
      </c>
      <c r="F525" s="2">
        <v>6607046031.75</v>
      </c>
      <c r="G525" s="2">
        <v>-2.5630483735623999</v>
      </c>
      <c r="H525" s="2"/>
      <c r="I525" s="2"/>
    </row>
    <row r="526" spans="3:9" x14ac:dyDescent="0.35">
      <c r="C526" s="2" t="s">
        <v>53</v>
      </c>
      <c r="D526" s="3">
        <v>42734</v>
      </c>
      <c r="E526">
        <v>4505.8122653777</v>
      </c>
      <c r="F526">
        <v>7327828484.46</v>
      </c>
      <c r="G526" s="2">
        <v>-28.7418922454473</v>
      </c>
      <c r="H526" s="2"/>
      <c r="I526" s="2"/>
    </row>
    <row r="527" spans="3:9" x14ac:dyDescent="0.35">
      <c r="C527" s="2" t="s">
        <v>54</v>
      </c>
      <c r="D527" s="3">
        <v>46022</v>
      </c>
      <c r="E527">
        <v>5295</v>
      </c>
      <c r="F527">
        <v>7112106224.1000004</v>
      </c>
      <c r="G527" s="2">
        <v>26.294272061841799</v>
      </c>
      <c r="H527" s="2"/>
      <c r="I527" s="2"/>
    </row>
    <row r="528" spans="3:9" x14ac:dyDescent="0.35">
      <c r="C528" s="2" t="s">
        <v>54</v>
      </c>
      <c r="D528" s="3">
        <v>45657</v>
      </c>
      <c r="E528">
        <v>4250</v>
      </c>
      <c r="F528">
        <v>5702488797.5</v>
      </c>
      <c r="G528" s="2">
        <v>20.590035265466401</v>
      </c>
      <c r="H528" s="2"/>
      <c r="I528" s="2"/>
    </row>
    <row r="529" spans="3:9" x14ac:dyDescent="0.35">
      <c r="C529" s="2" t="s">
        <v>54</v>
      </c>
      <c r="D529" s="3">
        <v>45289</v>
      </c>
      <c r="E529">
        <v>3582</v>
      </c>
      <c r="F529">
        <v>4803174544.4999905</v>
      </c>
      <c r="G529" s="2">
        <v>31.563155564060501</v>
      </c>
      <c r="H529" s="2"/>
      <c r="I529" s="2"/>
    </row>
    <row r="530" spans="3:9" x14ac:dyDescent="0.35">
      <c r="C530" s="2" t="s">
        <v>54</v>
      </c>
      <c r="D530" s="3">
        <v>44925</v>
      </c>
      <c r="E530">
        <v>2776</v>
      </c>
      <c r="F530">
        <v>3461104085.9200001</v>
      </c>
      <c r="G530" s="2">
        <v>-16.3723066298829</v>
      </c>
      <c r="H530" s="2"/>
      <c r="I530" s="2"/>
    </row>
    <row r="531" spans="3:9" x14ac:dyDescent="0.35">
      <c r="C531" s="2" t="s">
        <v>54</v>
      </c>
      <c r="D531" s="3">
        <v>44561</v>
      </c>
      <c r="E531">
        <v>3374</v>
      </c>
      <c r="F531">
        <v>4204549575.8000002</v>
      </c>
      <c r="G531" s="2">
        <v>54.582276146802002</v>
      </c>
      <c r="H531" s="2"/>
      <c r="I531" s="2"/>
    </row>
    <row r="532" spans="3:9" x14ac:dyDescent="0.35">
      <c r="C532" s="2" t="s">
        <v>54</v>
      </c>
      <c r="D532" s="3">
        <v>44196</v>
      </c>
      <c r="E532" s="2">
        <v>2192</v>
      </c>
      <c r="F532" s="2">
        <v>2730432248.8000002</v>
      </c>
      <c r="G532" s="2">
        <v>9.8852790901455805</v>
      </c>
      <c r="H532" s="2"/>
      <c r="I532" s="2"/>
    </row>
    <row r="533" spans="3:9" x14ac:dyDescent="0.35">
      <c r="C533" s="2" t="s">
        <v>54</v>
      </c>
      <c r="D533" s="3">
        <v>43830</v>
      </c>
      <c r="E533">
        <v>2024</v>
      </c>
      <c r="F533">
        <v>2291968593.1999998</v>
      </c>
      <c r="G533" s="2">
        <v>70.076788104241501</v>
      </c>
      <c r="H533" s="2"/>
      <c r="I533" s="2"/>
    </row>
    <row r="534" spans="3:9" x14ac:dyDescent="0.35">
      <c r="C534" s="2" t="s">
        <v>54</v>
      </c>
      <c r="D534" s="3">
        <v>43465</v>
      </c>
      <c r="E534">
        <v>1210</v>
      </c>
      <c r="F534">
        <v>1370198615.49999</v>
      </c>
      <c r="G534" s="2">
        <v>-0.99584682178899298</v>
      </c>
      <c r="H534" s="2"/>
      <c r="I534" s="2"/>
    </row>
    <row r="535" spans="3:9" x14ac:dyDescent="0.35">
      <c r="C535" s="2" t="s">
        <v>54</v>
      </c>
      <c r="D535" s="3">
        <v>43098</v>
      </c>
      <c r="E535">
        <v>1247</v>
      </c>
      <c r="F535">
        <v>1412097250.8499999</v>
      </c>
      <c r="G535" s="2">
        <v>22.4647132188319</v>
      </c>
      <c r="H535" s="2"/>
      <c r="I535" s="2"/>
    </row>
    <row r="536" spans="3:9" x14ac:dyDescent="0.35">
      <c r="C536" s="2" t="s">
        <v>54</v>
      </c>
      <c r="D536" s="3">
        <v>42734</v>
      </c>
      <c r="E536" s="2">
        <v>1039</v>
      </c>
      <c r="F536" s="2">
        <v>1176558976.45</v>
      </c>
      <c r="G536" s="2">
        <v>39.711224680524701</v>
      </c>
      <c r="H536" s="2"/>
      <c r="I536" s="2"/>
    </row>
    <row r="537" spans="3:9" x14ac:dyDescent="0.35">
      <c r="C537" s="2" t="s">
        <v>55</v>
      </c>
      <c r="D537" s="3">
        <v>46022</v>
      </c>
      <c r="E537">
        <v>432.8</v>
      </c>
      <c r="F537">
        <v>67641793873.480003</v>
      </c>
      <c r="G537" s="2">
        <v>16.678362840883999</v>
      </c>
      <c r="H537" s="2"/>
      <c r="I537" s="2"/>
    </row>
    <row r="538" spans="3:9" x14ac:dyDescent="0.35">
      <c r="C538" s="2" t="s">
        <v>55</v>
      </c>
      <c r="D538" s="3">
        <v>45657</v>
      </c>
      <c r="E538">
        <v>393</v>
      </c>
      <c r="F538">
        <v>63591296245.230003</v>
      </c>
      <c r="G538" s="2">
        <v>-11.0220567438587</v>
      </c>
      <c r="H538" s="2"/>
      <c r="I538" s="2"/>
    </row>
    <row r="539" spans="3:9" x14ac:dyDescent="0.35">
      <c r="C539" s="2" t="s">
        <v>55</v>
      </c>
      <c r="D539" s="3">
        <v>45289</v>
      </c>
      <c r="E539">
        <v>466.15</v>
      </c>
      <c r="F539">
        <v>80058752687.800507</v>
      </c>
      <c r="G539" s="2">
        <v>2.6127604646259099</v>
      </c>
      <c r="H539" s="2"/>
      <c r="I539" s="2"/>
    </row>
    <row r="540" spans="3:9" x14ac:dyDescent="0.35">
      <c r="C540" s="2" t="s">
        <v>55</v>
      </c>
      <c r="D540" s="3">
        <v>44925</v>
      </c>
      <c r="E540">
        <v>474.9</v>
      </c>
      <c r="F540">
        <v>86228598904.685806</v>
      </c>
      <c r="G540" s="2">
        <v>50.107067102344899</v>
      </c>
      <c r="H540" s="2"/>
      <c r="I540" s="2"/>
    </row>
    <row r="541" spans="3:9" x14ac:dyDescent="0.35">
      <c r="C541" s="2" t="s">
        <v>55</v>
      </c>
      <c r="D541" s="3">
        <v>44561</v>
      </c>
      <c r="E541">
        <v>330.5</v>
      </c>
      <c r="F541">
        <v>65243612726.245003</v>
      </c>
      <c r="G541" s="2">
        <v>36.392913420393903</v>
      </c>
      <c r="H541" s="2"/>
      <c r="I541" s="2"/>
    </row>
    <row r="542" spans="3:9" x14ac:dyDescent="0.35">
      <c r="C542" s="2" t="s">
        <v>55</v>
      </c>
      <c r="D542" s="3">
        <v>44196</v>
      </c>
      <c r="E542">
        <v>254.8</v>
      </c>
      <c r="F542">
        <v>51838106181.68</v>
      </c>
      <c r="G542" s="2">
        <v>-41.686893741879601</v>
      </c>
      <c r="H542" s="2"/>
      <c r="I542" s="2"/>
    </row>
    <row r="543" spans="3:9" x14ac:dyDescent="0.35">
      <c r="C543" s="2" t="s">
        <v>55</v>
      </c>
      <c r="D543" s="3">
        <v>43830</v>
      </c>
      <c r="E543" s="2">
        <v>471.6</v>
      </c>
      <c r="F543" s="2">
        <v>96077949128.999405</v>
      </c>
      <c r="G543" s="2">
        <v>1.0723993008536801</v>
      </c>
      <c r="H543" s="2"/>
      <c r="I543" s="2"/>
    </row>
    <row r="544" spans="3:9" x14ac:dyDescent="0.35">
      <c r="C544" s="2" t="s">
        <v>55</v>
      </c>
      <c r="D544" s="3">
        <v>43465</v>
      </c>
      <c r="E544" s="2">
        <v>495.95</v>
      </c>
      <c r="F544" s="2">
        <v>100508309432.985</v>
      </c>
      <c r="G544" s="2">
        <v>0.47444817304693698</v>
      </c>
      <c r="H544" s="2"/>
      <c r="I544" s="2"/>
    </row>
    <row r="545" spans="3:9" x14ac:dyDescent="0.35">
      <c r="C545" s="2" t="s">
        <v>55</v>
      </c>
      <c r="D545" s="3">
        <v>43098</v>
      </c>
      <c r="E545" s="2">
        <v>522.70000000000005</v>
      </c>
      <c r="F545" s="2">
        <v>103577450918.936</v>
      </c>
      <c r="G545" s="2">
        <v>9.5438575138295292</v>
      </c>
      <c r="H545" s="2"/>
      <c r="I545" s="2"/>
    </row>
    <row r="546" spans="3:9" x14ac:dyDescent="0.35">
      <c r="C546" s="2" t="s">
        <v>55</v>
      </c>
      <c r="D546" s="3">
        <v>42734</v>
      </c>
      <c r="E546" s="2">
        <v>509.6</v>
      </c>
      <c r="F546" s="2">
        <v>99235860400.768005</v>
      </c>
      <c r="G546" s="2">
        <v>55.472959968338699</v>
      </c>
      <c r="H546" s="2"/>
      <c r="I546" s="2"/>
    </row>
    <row r="547" spans="3:9" x14ac:dyDescent="0.35">
      <c r="C547" s="2" t="s">
        <v>56</v>
      </c>
      <c r="D547" s="3">
        <v>46022</v>
      </c>
      <c r="E547" s="2">
        <v>1150</v>
      </c>
      <c r="F547" s="2">
        <v>97103798348</v>
      </c>
      <c r="G547" s="2">
        <v>104.80193883781099</v>
      </c>
      <c r="H547" s="2"/>
    </row>
    <row r="548" spans="3:9" x14ac:dyDescent="0.35">
      <c r="C548" s="2" t="s">
        <v>56</v>
      </c>
      <c r="D548" s="3">
        <v>45657</v>
      </c>
      <c r="E548">
        <v>568.6</v>
      </c>
      <c r="F548">
        <v>48358844279.454002</v>
      </c>
      <c r="G548" s="2">
        <v>89.7230563894352</v>
      </c>
      <c r="H548" s="2"/>
      <c r="I548" s="2"/>
    </row>
    <row r="549" spans="3:9" x14ac:dyDescent="0.35">
      <c r="C549" s="2" t="s">
        <v>56</v>
      </c>
      <c r="D549" s="3">
        <v>45289</v>
      </c>
      <c r="E549">
        <v>299.7</v>
      </c>
      <c r="F549">
        <v>25224840876.032902</v>
      </c>
      <c r="G549" s="2">
        <v>221.56652360492501</v>
      </c>
      <c r="H549" s="2"/>
      <c r="I549" s="2"/>
    </row>
    <row r="550" spans="3:9" x14ac:dyDescent="0.35">
      <c r="C550" s="2" t="s">
        <v>56</v>
      </c>
      <c r="D550" s="3">
        <v>44925</v>
      </c>
      <c r="E550">
        <v>93.2</v>
      </c>
      <c r="F550">
        <v>7798600393.7480001</v>
      </c>
      <c r="G550" s="2">
        <v>-24.153645833216601</v>
      </c>
      <c r="H550" s="2"/>
      <c r="I550" s="2"/>
    </row>
    <row r="551" spans="3:9" x14ac:dyDescent="0.35">
      <c r="C551" s="2" t="s">
        <v>56</v>
      </c>
      <c r="D551" s="3">
        <v>44561</v>
      </c>
      <c r="E551">
        <v>122.88</v>
      </c>
      <c r="F551">
        <v>10282103180.0832</v>
      </c>
      <c r="G551" s="2">
        <v>10.4539325835346</v>
      </c>
      <c r="H551" s="2"/>
      <c r="I551" s="2"/>
    </row>
    <row r="552" spans="3:9" x14ac:dyDescent="0.35">
      <c r="C552" s="2" t="s">
        <v>56</v>
      </c>
      <c r="D552" s="3">
        <v>44196</v>
      </c>
      <c r="E552">
        <v>111.25</v>
      </c>
      <c r="F552">
        <v>9308951650.2624702</v>
      </c>
      <c r="G552">
        <v>-52.549275561630203</v>
      </c>
      <c r="H552" s="2"/>
      <c r="I552" s="2"/>
    </row>
    <row r="553" spans="3:9" x14ac:dyDescent="0.35">
      <c r="C553" s="2" t="s">
        <v>56</v>
      </c>
      <c r="D553" s="3">
        <v>43830</v>
      </c>
      <c r="E553">
        <v>234.453744</v>
      </c>
      <c r="F553">
        <v>13192559978.416</v>
      </c>
      <c r="G553" s="2">
        <v>-16.519585809593298</v>
      </c>
      <c r="H553" s="2"/>
      <c r="I553" s="2"/>
    </row>
    <row r="554" spans="3:9" x14ac:dyDescent="0.35">
      <c r="C554" s="2" t="s">
        <v>56</v>
      </c>
      <c r="D554" s="3">
        <v>43465</v>
      </c>
      <c r="E554">
        <v>280.84880300959998</v>
      </c>
      <c r="F554">
        <v>15734396743.299999</v>
      </c>
      <c r="G554" s="2">
        <v>-0.63023028511272094</v>
      </c>
      <c r="H554" s="2"/>
      <c r="I554" s="2"/>
    </row>
    <row r="555" spans="3:9" x14ac:dyDescent="0.35">
      <c r="C555" s="2" t="s">
        <v>56</v>
      </c>
      <c r="D555" s="3">
        <v>43098</v>
      </c>
      <c r="E555">
        <v>282.63002300900001</v>
      </c>
      <c r="F555">
        <v>15589844596.48</v>
      </c>
      <c r="G555" s="2">
        <v>28.525445635687799</v>
      </c>
      <c r="H555" s="2"/>
      <c r="I555" s="2"/>
    </row>
    <row r="556" spans="3:9" x14ac:dyDescent="0.35">
      <c r="C556" s="2" t="s">
        <v>56</v>
      </c>
      <c r="D556" s="3">
        <v>42734</v>
      </c>
      <c r="E556">
        <v>219.90199809090001</v>
      </c>
      <c r="F556">
        <v>12283101675.679899</v>
      </c>
      <c r="G556" s="2">
        <v>18.1219383842855</v>
      </c>
      <c r="H556" s="2"/>
      <c r="I556" s="2"/>
    </row>
    <row r="557" spans="3:9" x14ac:dyDescent="0.35">
      <c r="C557" s="2" t="s">
        <v>57</v>
      </c>
      <c r="D557" s="3">
        <v>46022</v>
      </c>
      <c r="E557">
        <v>720.4</v>
      </c>
      <c r="F557">
        <v>9750580328.5039997</v>
      </c>
      <c r="G557" s="2">
        <v>7.3942557168455298</v>
      </c>
      <c r="H557" s="2"/>
      <c r="I557" s="2"/>
    </row>
    <row r="558" spans="3:9" x14ac:dyDescent="0.35">
      <c r="C558" s="2" t="s">
        <v>57</v>
      </c>
      <c r="D558" s="3">
        <v>45657</v>
      </c>
      <c r="E558" s="2">
        <v>701.2</v>
      </c>
      <c r="F558" s="2">
        <v>9486272600.2839508</v>
      </c>
      <c r="G558" s="2">
        <v>-18.284047851507601</v>
      </c>
      <c r="H558" s="2"/>
      <c r="I558" s="2"/>
    </row>
    <row r="559" spans="3:9" x14ac:dyDescent="0.35">
      <c r="C559" s="2" t="s">
        <v>57</v>
      </c>
      <c r="D559" s="3">
        <v>45289</v>
      </c>
      <c r="E559" s="2">
        <v>886.4</v>
      </c>
      <c r="F559" s="2">
        <v>10881492395.2959</v>
      </c>
      <c r="G559" s="2">
        <v>20.2564013451343</v>
      </c>
      <c r="H559" s="2"/>
      <c r="I559" s="2"/>
    </row>
    <row r="560" spans="3:9" x14ac:dyDescent="0.35">
      <c r="C560" s="2" t="s">
        <v>57</v>
      </c>
      <c r="D560" s="3">
        <v>44925</v>
      </c>
      <c r="E560" s="2">
        <v>763.6</v>
      </c>
      <c r="F560" s="2">
        <v>9234706230.0519695</v>
      </c>
      <c r="G560" s="2">
        <v>-45.756211656491601</v>
      </c>
      <c r="H560" s="2"/>
      <c r="I560" s="2"/>
    </row>
    <row r="561" spans="3:9" x14ac:dyDescent="0.35">
      <c r="C561" s="2" t="s">
        <v>57</v>
      </c>
      <c r="D561" s="3">
        <v>44561</v>
      </c>
      <c r="E561" s="2">
        <v>1436.5</v>
      </c>
      <c r="F561" s="2">
        <v>17273257082.509998</v>
      </c>
      <c r="G561" s="2">
        <v>55.068862629495698</v>
      </c>
      <c r="H561" s="2"/>
      <c r="I561" s="2"/>
    </row>
    <row r="562" spans="3:9" x14ac:dyDescent="0.35">
      <c r="C562" s="2" t="s">
        <v>57</v>
      </c>
      <c r="D562" s="3">
        <v>44196</v>
      </c>
      <c r="E562" s="2">
        <v>947.6</v>
      </c>
      <c r="F562" s="2">
        <v>11291399145.26</v>
      </c>
      <c r="G562" s="2">
        <v>8.6970810358898891</v>
      </c>
      <c r="H562" s="2"/>
      <c r="I562" s="2"/>
    </row>
    <row r="563" spans="3:9" x14ac:dyDescent="0.35">
      <c r="C563" s="2" t="s">
        <v>57</v>
      </c>
      <c r="D563" s="3">
        <v>43830</v>
      </c>
      <c r="E563" s="2">
        <v>897.2</v>
      </c>
      <c r="F563" s="2">
        <v>9839102753.0999603</v>
      </c>
      <c r="G563" s="2">
        <v>56.768938747603599</v>
      </c>
      <c r="H563" s="2"/>
      <c r="I563" s="2"/>
    </row>
    <row r="564" spans="3:9" x14ac:dyDescent="0.35">
      <c r="C564" s="2" t="s">
        <v>57</v>
      </c>
      <c r="D564" s="3">
        <v>43465</v>
      </c>
      <c r="E564" s="2">
        <v>588.6</v>
      </c>
      <c r="F564" s="2">
        <v>5965477257.1319904</v>
      </c>
      <c r="G564" s="2">
        <v>3.0552011177618699</v>
      </c>
      <c r="H564" s="2"/>
      <c r="I564" s="2"/>
    </row>
    <row r="565" spans="3:9" x14ac:dyDescent="0.35">
      <c r="C565" s="2" t="s">
        <v>57</v>
      </c>
      <c r="D565" s="3">
        <v>43098</v>
      </c>
      <c r="E565" s="2">
        <v>587</v>
      </c>
      <c r="F565" s="2">
        <v>5887179717.2600002</v>
      </c>
      <c r="G565" s="2">
        <v>38.691432403923898</v>
      </c>
      <c r="H565" s="2"/>
      <c r="I565" s="2"/>
    </row>
    <row r="566" spans="3:9" x14ac:dyDescent="0.35">
      <c r="C566" s="2" t="s">
        <v>57</v>
      </c>
      <c r="D566" s="3">
        <v>42734</v>
      </c>
      <c r="E566" s="2">
        <v>437.96146590000001</v>
      </c>
      <c r="F566" s="2">
        <v>3802988929.6890001</v>
      </c>
      <c r="G566" s="2">
        <v>10.779692379262899</v>
      </c>
      <c r="H566" s="2"/>
      <c r="I566" s="2"/>
    </row>
    <row r="567" spans="3:9" x14ac:dyDescent="0.35">
      <c r="C567" s="2" t="s">
        <v>58</v>
      </c>
      <c r="D567" s="3">
        <v>46022</v>
      </c>
      <c r="E567" s="2">
        <v>330</v>
      </c>
      <c r="F567" s="2">
        <v>6788513509.8000002</v>
      </c>
      <c r="G567" s="2">
        <v>-11.2021634048437</v>
      </c>
      <c r="H567" s="2"/>
      <c r="I567" s="2"/>
    </row>
    <row r="568" spans="3:9" x14ac:dyDescent="0.35">
      <c r="C568" s="2" t="s">
        <v>58</v>
      </c>
      <c r="D568" s="3">
        <v>45657</v>
      </c>
      <c r="E568" s="2">
        <v>375.5</v>
      </c>
      <c r="F568" s="2">
        <v>7702551019.0849895</v>
      </c>
      <c r="G568" s="2">
        <v>39.117576079155597</v>
      </c>
      <c r="H568" s="2"/>
      <c r="I568" s="2"/>
    </row>
    <row r="569" spans="3:9" x14ac:dyDescent="0.35">
      <c r="C569" s="2" t="s">
        <v>58</v>
      </c>
      <c r="D569" s="3">
        <v>45289</v>
      </c>
      <c r="E569" s="2">
        <v>272.39999999999998</v>
      </c>
      <c r="F569" s="2">
        <v>5373979614.8159904</v>
      </c>
      <c r="G569" s="2">
        <v>121.79026611440401</v>
      </c>
      <c r="H569" s="2"/>
      <c r="I569" s="2"/>
    </row>
    <row r="570" spans="3:9" x14ac:dyDescent="0.35">
      <c r="C570" s="2" t="s">
        <v>58</v>
      </c>
      <c r="D570" s="3">
        <v>44925</v>
      </c>
      <c r="E570">
        <v>123.3</v>
      </c>
      <c r="F570">
        <v>2422641392.244</v>
      </c>
      <c r="G570" s="2">
        <v>-46.715643907167802</v>
      </c>
      <c r="H570" s="2"/>
      <c r="I570" s="2"/>
    </row>
    <row r="571" spans="3:9" x14ac:dyDescent="0.35">
      <c r="C571" s="2" t="s">
        <v>58</v>
      </c>
      <c r="D571" s="3">
        <v>44561</v>
      </c>
      <c r="E571">
        <v>231.4</v>
      </c>
      <c r="F571">
        <v>4532285576.0259895</v>
      </c>
      <c r="G571" s="2">
        <v>69.7725605288541</v>
      </c>
      <c r="H571" s="2"/>
      <c r="I571" s="2"/>
    </row>
    <row r="572" spans="3:9" x14ac:dyDescent="0.35">
      <c r="C572" s="2" t="s">
        <v>58</v>
      </c>
      <c r="D572" s="3">
        <v>44196</v>
      </c>
      <c r="E572">
        <v>136.30000000000001</v>
      </c>
      <c r="F572">
        <v>2666391968.7049999</v>
      </c>
      <c r="G572">
        <v>-36.159250585663798</v>
      </c>
      <c r="H572" s="2"/>
      <c r="I572" s="2"/>
    </row>
    <row r="573" spans="3:9" x14ac:dyDescent="0.35">
      <c r="C573" s="2" t="s">
        <v>58</v>
      </c>
      <c r="D573" s="3">
        <v>43830</v>
      </c>
      <c r="E573">
        <v>213.5</v>
      </c>
      <c r="F573">
        <v>4163377690.0799999</v>
      </c>
      <c r="G573" s="2">
        <v>-7.6668499283476201</v>
      </c>
      <c r="H573" s="2"/>
      <c r="I573" s="2"/>
    </row>
    <row r="574" spans="3:9" x14ac:dyDescent="0.35">
      <c r="C574" s="2" t="s">
        <v>58</v>
      </c>
      <c r="D574" s="3">
        <v>43465</v>
      </c>
      <c r="E574">
        <v>236.42702399999999</v>
      </c>
      <c r="F574">
        <v>4016791983.6719999</v>
      </c>
      <c r="G574" s="2">
        <v>-21.473951715294699</v>
      </c>
      <c r="H574" s="2"/>
      <c r="I574" s="2"/>
    </row>
    <row r="575" spans="3:9" x14ac:dyDescent="0.35">
      <c r="C575" s="2" t="s">
        <v>58</v>
      </c>
      <c r="D575" s="3">
        <v>43098</v>
      </c>
      <c r="E575">
        <v>301.08101599999998</v>
      </c>
      <c r="F575">
        <v>5114686468.6560001</v>
      </c>
      <c r="G575" s="2">
        <v>-10.057142857339599</v>
      </c>
      <c r="H575" s="2"/>
      <c r="I575" s="2"/>
    </row>
    <row r="576" spans="3:9" x14ac:dyDescent="0.35">
      <c r="C576" s="2" t="s">
        <v>58</v>
      </c>
      <c r="D576" s="3">
        <v>42734</v>
      </c>
      <c r="E576">
        <v>334.74700000000001</v>
      </c>
      <c r="F576">
        <v>5686530783.5</v>
      </c>
      <c r="G576" s="2">
        <v>-21.663304733936801</v>
      </c>
      <c r="H576" s="2"/>
      <c r="I576" s="2"/>
    </row>
    <row r="577" spans="3:9" x14ac:dyDescent="0.35">
      <c r="C577" s="2" t="s">
        <v>59</v>
      </c>
      <c r="D577" s="3">
        <v>46022</v>
      </c>
      <c r="E577">
        <v>6850</v>
      </c>
      <c r="F577">
        <v>30232623824.909801</v>
      </c>
      <c r="G577" s="2">
        <v>11.575945907215999</v>
      </c>
      <c r="H577" s="2"/>
      <c r="I577" s="2"/>
    </row>
    <row r="578" spans="3:9" x14ac:dyDescent="0.35">
      <c r="C578" s="2" t="s">
        <v>59</v>
      </c>
      <c r="D578" s="3">
        <v>45657</v>
      </c>
      <c r="E578">
        <v>6300</v>
      </c>
      <c r="F578">
        <v>28299491018.122299</v>
      </c>
      <c r="G578" s="2">
        <v>30.787314572188102</v>
      </c>
      <c r="H578" s="2"/>
      <c r="I578" s="2"/>
    </row>
    <row r="579" spans="3:9" x14ac:dyDescent="0.35">
      <c r="C579" s="2" t="s">
        <v>59</v>
      </c>
      <c r="D579" s="3">
        <v>45289</v>
      </c>
      <c r="E579" s="2">
        <v>4955.4426584492003</v>
      </c>
      <c r="F579" s="2">
        <v>24069294643.265999</v>
      </c>
      <c r="G579" s="2">
        <v>18.2952136731293</v>
      </c>
      <c r="H579" s="2"/>
      <c r="I579" s="2"/>
    </row>
    <row r="580" spans="3:9" x14ac:dyDescent="0.35">
      <c r="C580" s="2" t="s">
        <v>59</v>
      </c>
      <c r="D580" s="3">
        <v>44925</v>
      </c>
      <c r="E580" s="2">
        <v>4330.8070292329003</v>
      </c>
      <c r="F580" s="2">
        <v>20896796344.4622</v>
      </c>
      <c r="G580" s="2">
        <v>9.9841748254426701</v>
      </c>
      <c r="H580" s="2"/>
    </row>
    <row r="581" spans="3:9" x14ac:dyDescent="0.35">
      <c r="C581" s="2" t="s">
        <v>59</v>
      </c>
      <c r="D581" s="3">
        <v>44561</v>
      </c>
      <c r="E581" s="2">
        <v>4080.9527775463998</v>
      </c>
      <c r="F581" s="2">
        <v>18861057109.883598</v>
      </c>
      <c r="G581" s="2">
        <v>27.869121490321099</v>
      </c>
      <c r="H581" s="2"/>
      <c r="I581" s="2"/>
    </row>
    <row r="582" spans="3:9" x14ac:dyDescent="0.35">
      <c r="C582" s="2" t="s">
        <v>59</v>
      </c>
      <c r="D582" s="3">
        <v>44196</v>
      </c>
      <c r="E582" s="2">
        <v>3289.7476472058001</v>
      </c>
      <c r="F582" s="2">
        <v>16569176937.7047</v>
      </c>
      <c r="G582" s="2">
        <v>-10.835006071319601</v>
      </c>
      <c r="H582" s="2"/>
      <c r="I582" s="2"/>
    </row>
    <row r="583" spans="3:9" x14ac:dyDescent="0.35">
      <c r="C583" s="2" t="s">
        <v>59</v>
      </c>
      <c r="D583" s="3">
        <v>43830</v>
      </c>
      <c r="E583" s="2">
        <v>3789.4561505788001</v>
      </c>
      <c r="F583" s="2">
        <v>17513417933.349098</v>
      </c>
      <c r="G583" s="2">
        <v>16.564471877486</v>
      </c>
      <c r="H583" s="2"/>
      <c r="I583" s="2"/>
    </row>
    <row r="584" spans="3:9" x14ac:dyDescent="0.35">
      <c r="C584" s="2" t="s">
        <v>59</v>
      </c>
      <c r="D584" s="3">
        <v>43465</v>
      </c>
      <c r="E584" s="2">
        <v>3338.0528025318999</v>
      </c>
      <c r="F584" s="2">
        <v>17069053650.2593</v>
      </c>
      <c r="G584" s="2">
        <v>26.499639227817099</v>
      </c>
      <c r="H584" s="2"/>
      <c r="I584" s="2"/>
    </row>
    <row r="585" spans="3:9" x14ac:dyDescent="0.35">
      <c r="C585" s="2" t="s">
        <v>59</v>
      </c>
      <c r="D585" s="3">
        <v>43098</v>
      </c>
      <c r="E585" s="2">
        <v>2724.2441908885999</v>
      </c>
      <c r="F585" s="2">
        <v>14291031190.7225</v>
      </c>
      <c r="G585" s="2">
        <v>10.8932834528381</v>
      </c>
      <c r="H585" s="2"/>
      <c r="I585" s="2"/>
    </row>
    <row r="586" spans="3:9" x14ac:dyDescent="0.35">
      <c r="C586" s="2" t="s">
        <v>59</v>
      </c>
      <c r="D586" s="3">
        <v>42734</v>
      </c>
      <c r="E586" s="2">
        <v>2519.3637045056998</v>
      </c>
      <c r="F586" s="2">
        <v>12286468932.232201</v>
      </c>
      <c r="G586" s="2">
        <v>-13.1979230507996</v>
      </c>
      <c r="H586" s="2"/>
      <c r="I586" s="2"/>
    </row>
    <row r="587" spans="3:9" x14ac:dyDescent="0.35">
      <c r="C587" s="2" t="s">
        <v>60</v>
      </c>
      <c r="D587" s="3">
        <v>46022</v>
      </c>
      <c r="E587" s="2">
        <v>1384.5</v>
      </c>
      <c r="F587" s="2">
        <v>7297867509.0749998</v>
      </c>
      <c r="G587" s="2">
        <v>62.475661840170403</v>
      </c>
      <c r="H587" s="2"/>
      <c r="I587" s="2"/>
    </row>
    <row r="588" spans="3:9" x14ac:dyDescent="0.35">
      <c r="C588" s="2" t="s">
        <v>60</v>
      </c>
      <c r="D588" s="3">
        <v>45657</v>
      </c>
      <c r="E588" s="2">
        <v>868</v>
      </c>
      <c r="F588" s="2">
        <v>4722047691.47999</v>
      </c>
      <c r="G588" s="2">
        <v>30.487274497033301</v>
      </c>
      <c r="H588" s="2"/>
      <c r="I588" s="2"/>
    </row>
    <row r="589" spans="3:9" x14ac:dyDescent="0.35">
      <c r="C589" s="2" t="s">
        <v>60</v>
      </c>
      <c r="D589" s="3">
        <v>45289</v>
      </c>
      <c r="E589" s="2">
        <v>683.6</v>
      </c>
      <c r="F589" s="2">
        <v>3750262371.7839999</v>
      </c>
      <c r="G589" s="2">
        <v>-34.2843127822836</v>
      </c>
      <c r="H589" s="2"/>
      <c r="I589" s="2"/>
    </row>
    <row r="590" spans="3:9" x14ac:dyDescent="0.35">
      <c r="C590" s="2" t="s">
        <v>60</v>
      </c>
      <c r="D590" s="3">
        <v>44925</v>
      </c>
      <c r="E590">
        <v>1095</v>
      </c>
      <c r="F590">
        <v>5959381539.1499996</v>
      </c>
      <c r="G590" s="2">
        <v>-31.9890889804118</v>
      </c>
      <c r="H590" s="2"/>
      <c r="I590" s="2"/>
    </row>
    <row r="591" spans="3:9" x14ac:dyDescent="0.35">
      <c r="C591" s="2" t="s">
        <v>60</v>
      </c>
      <c r="D591" s="3">
        <v>44561</v>
      </c>
      <c r="E591" s="2">
        <v>1683.5</v>
      </c>
      <c r="F591" s="2">
        <v>9099831455.7149906</v>
      </c>
      <c r="G591" s="2">
        <v>55.334455019896801</v>
      </c>
      <c r="H591" s="2"/>
    </row>
    <row r="592" spans="3:9" x14ac:dyDescent="0.35">
      <c r="C592" s="2" t="s">
        <v>60</v>
      </c>
      <c r="D592" s="3">
        <v>44196</v>
      </c>
      <c r="E592">
        <v>1133.5</v>
      </c>
      <c r="F592">
        <v>6090788187.1099901</v>
      </c>
      <c r="G592" s="2">
        <v>-0.36962528065290801</v>
      </c>
      <c r="H592" s="2"/>
      <c r="I592" s="2"/>
    </row>
    <row r="593" spans="3:9" x14ac:dyDescent="0.35">
      <c r="C593" s="2" t="s">
        <v>60</v>
      </c>
      <c r="D593" s="3">
        <v>43830</v>
      </c>
      <c r="E593">
        <v>1164.5</v>
      </c>
      <c r="F593">
        <v>6227753289.7700005</v>
      </c>
      <c r="G593" s="2">
        <v>29.4409238192545</v>
      </c>
      <c r="H593" s="2"/>
      <c r="I593" s="2"/>
    </row>
    <row r="594" spans="3:9" x14ac:dyDescent="0.35">
      <c r="C594" s="2" t="s">
        <v>60</v>
      </c>
      <c r="D594" s="3">
        <v>43465</v>
      </c>
      <c r="E594">
        <v>944</v>
      </c>
      <c r="F594">
        <v>4998094999.0399904</v>
      </c>
      <c r="G594" s="2">
        <v>-19.716453094106601</v>
      </c>
      <c r="H594" s="2"/>
      <c r="I594" s="2"/>
    </row>
    <row r="595" spans="3:9" x14ac:dyDescent="0.35">
      <c r="C595" s="2" t="s">
        <v>60</v>
      </c>
      <c r="D595" s="3">
        <v>43098</v>
      </c>
      <c r="E595">
        <v>1226</v>
      </c>
      <c r="F595">
        <v>6486450513.4200001</v>
      </c>
      <c r="G595" s="2">
        <v>24.972519977472999</v>
      </c>
      <c r="H595" s="2"/>
      <c r="I595" s="2"/>
    </row>
    <row r="596" spans="3:9" x14ac:dyDescent="0.35">
      <c r="C596" s="2" t="s">
        <v>60</v>
      </c>
      <c r="D596" s="3">
        <v>42734</v>
      </c>
      <c r="E596">
        <v>1014</v>
      </c>
      <c r="F596">
        <v>5348540689.4399996</v>
      </c>
      <c r="G596" s="2">
        <v>3.8861366772145098</v>
      </c>
      <c r="H596" s="2"/>
      <c r="I596" s="2"/>
    </row>
    <row r="597" spans="3:9" x14ac:dyDescent="0.35">
      <c r="C597" s="2" t="s">
        <v>61</v>
      </c>
      <c r="D597" s="3">
        <v>46022</v>
      </c>
      <c r="E597">
        <v>475.95</v>
      </c>
      <c r="F597">
        <v>65989365471.091499</v>
      </c>
      <c r="G597" s="2">
        <v>82.234463561157</v>
      </c>
      <c r="H597" s="2"/>
      <c r="I597" s="2"/>
    </row>
    <row r="598" spans="3:9" x14ac:dyDescent="0.35">
      <c r="C598" s="2" t="s">
        <v>61</v>
      </c>
      <c r="D598" s="3">
        <v>45657</v>
      </c>
      <c r="E598">
        <v>268.14999999999998</v>
      </c>
      <c r="F598">
        <v>38666156233.547501</v>
      </c>
      <c r="G598" s="2">
        <v>82.283810532517293</v>
      </c>
      <c r="H598" s="2"/>
      <c r="I598" s="2"/>
    </row>
    <row r="599" spans="3:9" x14ac:dyDescent="0.35">
      <c r="C599" s="2" t="s">
        <v>61</v>
      </c>
      <c r="D599" s="3">
        <v>45289</v>
      </c>
      <c r="E599">
        <v>153.78</v>
      </c>
      <c r="F599">
        <v>23274026875.532299</v>
      </c>
      <c r="G599" s="2">
        <v>1.64113355599911</v>
      </c>
      <c r="H599" s="2"/>
      <c r="I599" s="2"/>
    </row>
    <row r="600" spans="3:9" x14ac:dyDescent="0.35">
      <c r="C600" s="2" t="s">
        <v>61</v>
      </c>
      <c r="D600" s="3">
        <v>44925</v>
      </c>
      <c r="E600" s="2">
        <v>158.52000000000001</v>
      </c>
      <c r="F600" s="2">
        <v>25153630666.226299</v>
      </c>
      <c r="G600" s="2">
        <v>-12.067388214248</v>
      </c>
      <c r="H600" s="2"/>
      <c r="I600" s="2"/>
    </row>
    <row r="601" spans="3:9" x14ac:dyDescent="0.35">
      <c r="C601" s="2" t="s">
        <v>61</v>
      </c>
      <c r="D601" s="3">
        <v>44561</v>
      </c>
      <c r="E601" s="2">
        <v>187</v>
      </c>
      <c r="F601" s="2">
        <v>31327094829.360001</v>
      </c>
      <c r="G601" s="2">
        <v>29.665062895371399</v>
      </c>
      <c r="H601" s="2"/>
      <c r="I601" s="2"/>
    </row>
    <row r="602" spans="3:9" x14ac:dyDescent="0.35">
      <c r="C602" s="2" t="s">
        <v>61</v>
      </c>
      <c r="D602" s="3">
        <v>44196</v>
      </c>
      <c r="E602" s="2">
        <v>146.68</v>
      </c>
      <c r="F602" s="2">
        <v>25462615419.737598</v>
      </c>
      <c r="G602" s="2">
        <v>-18.347806724063201</v>
      </c>
      <c r="H602" s="2"/>
    </row>
    <row r="603" spans="3:9" x14ac:dyDescent="0.35">
      <c r="C603" s="2" t="s">
        <v>61</v>
      </c>
      <c r="D603" s="3">
        <v>43830</v>
      </c>
      <c r="E603" s="2">
        <v>179.64</v>
      </c>
      <c r="F603" s="2">
        <v>31117344696.590401</v>
      </c>
      <c r="G603" s="2">
        <v>24.767765873378199</v>
      </c>
      <c r="H603" s="2"/>
      <c r="I603" s="2"/>
    </row>
    <row r="604" spans="3:9" x14ac:dyDescent="0.35">
      <c r="C604" s="2" t="s">
        <v>61</v>
      </c>
      <c r="D604" s="3">
        <v>43465</v>
      </c>
      <c r="E604" s="2">
        <v>150.52000000000001</v>
      </c>
      <c r="F604" s="2">
        <v>25788300018.6768</v>
      </c>
      <c r="G604" s="2">
        <v>-24.210409577479901</v>
      </c>
      <c r="H604" s="2"/>
      <c r="I604" s="2"/>
    </row>
    <row r="605" spans="3:9" x14ac:dyDescent="0.35">
      <c r="C605" s="2" t="s">
        <v>61</v>
      </c>
      <c r="D605" s="3">
        <v>43098</v>
      </c>
      <c r="E605">
        <v>203.1</v>
      </c>
      <c r="F605">
        <v>34640939971.299004</v>
      </c>
      <c r="G605" s="2">
        <v>-7.8674083156479604</v>
      </c>
      <c r="H605" s="2"/>
      <c r="I605" s="2"/>
    </row>
    <row r="606" spans="3:9" x14ac:dyDescent="0.35">
      <c r="C606" s="2" t="s">
        <v>61</v>
      </c>
      <c r="D606" s="3">
        <v>42734</v>
      </c>
      <c r="E606">
        <v>223.45</v>
      </c>
      <c r="F606">
        <v>37898131542.508499</v>
      </c>
      <c r="G606" s="2">
        <v>4.9519166522921996</v>
      </c>
      <c r="H606" s="2"/>
      <c r="I606" s="2"/>
    </row>
    <row r="607" spans="3:9" x14ac:dyDescent="0.35">
      <c r="C607" s="2" t="s">
        <v>62</v>
      </c>
      <c r="D607" s="3">
        <v>46022</v>
      </c>
      <c r="E607">
        <v>588.4</v>
      </c>
      <c r="F607">
        <v>7402181489.4720001</v>
      </c>
      <c r="G607" s="2">
        <v>7.5002699843635696</v>
      </c>
      <c r="H607" s="2"/>
      <c r="I607" s="2"/>
    </row>
    <row r="608" spans="3:9" x14ac:dyDescent="0.35">
      <c r="C608" s="2" t="s">
        <v>62</v>
      </c>
      <c r="D608" s="3">
        <v>45657</v>
      </c>
      <c r="E608">
        <v>553.79999999999995</v>
      </c>
      <c r="F608">
        <v>7124196618.2399902</v>
      </c>
      <c r="G608" s="2">
        <v>-1.4905610684341299</v>
      </c>
      <c r="H608" s="2"/>
      <c r="I608" s="2"/>
    </row>
    <row r="609" spans="3:9" x14ac:dyDescent="0.35">
      <c r="C609" s="2" t="s">
        <v>62</v>
      </c>
      <c r="D609" s="3">
        <v>45289</v>
      </c>
      <c r="E609">
        <v>567.4</v>
      </c>
      <c r="F609">
        <v>7561816291.1940002</v>
      </c>
      <c r="G609" s="2">
        <v>103.459229709742</v>
      </c>
      <c r="H609" s="2"/>
      <c r="I609" s="2"/>
    </row>
    <row r="610" spans="3:9" x14ac:dyDescent="0.35">
      <c r="C610" s="2" t="s">
        <v>62</v>
      </c>
      <c r="D610" s="3">
        <v>44925</v>
      </c>
      <c r="E610">
        <v>282.24663600000002</v>
      </c>
      <c r="F610">
        <v>5453202917.5449896</v>
      </c>
      <c r="G610" s="2">
        <v>-14.5578105302837</v>
      </c>
      <c r="H610" s="2"/>
      <c r="I610" s="2"/>
    </row>
    <row r="611" spans="3:9" x14ac:dyDescent="0.35">
      <c r="C611" s="2" t="s">
        <v>62</v>
      </c>
      <c r="D611" s="3">
        <v>44561</v>
      </c>
      <c r="E611">
        <v>335.54823119999998</v>
      </c>
      <c r="F611">
        <v>6991514727.3269997</v>
      </c>
      <c r="G611" s="2">
        <v>-10.4920197440549</v>
      </c>
      <c r="H611" s="2"/>
      <c r="I611" s="2"/>
    </row>
    <row r="612" spans="3:9" x14ac:dyDescent="0.35">
      <c r="C612" s="2" t="s">
        <v>62</v>
      </c>
      <c r="D612" s="3">
        <v>44196</v>
      </c>
      <c r="E612">
        <v>378.08367707709999</v>
      </c>
      <c r="F612">
        <v>8650122961.6214409</v>
      </c>
      <c r="G612">
        <v>-25.843398584043602</v>
      </c>
      <c r="H612" s="2"/>
      <c r="I612" s="2"/>
    </row>
    <row r="613" spans="3:9" x14ac:dyDescent="0.35">
      <c r="C613" s="2" t="s">
        <v>62</v>
      </c>
      <c r="D613" s="3">
        <v>43830</v>
      </c>
      <c r="E613" s="2">
        <v>509.84493606410001</v>
      </c>
      <c r="F613" s="2">
        <v>11664670166.162901</v>
      </c>
      <c r="G613" s="2">
        <v>50.099354539937799</v>
      </c>
      <c r="H613" s="2"/>
      <c r="I613" s="2"/>
    </row>
    <row r="614" spans="3:9" x14ac:dyDescent="0.35">
      <c r="C614" s="2" t="s">
        <v>62</v>
      </c>
      <c r="D614" s="3">
        <v>43465</v>
      </c>
      <c r="E614">
        <v>347.93041555230002</v>
      </c>
      <c r="F614">
        <v>7960250756.8754997</v>
      </c>
      <c r="G614" s="2">
        <v>-21.2098436876209</v>
      </c>
      <c r="H614" s="2"/>
      <c r="I614" s="2"/>
    </row>
    <row r="615" spans="3:9" x14ac:dyDescent="0.35">
      <c r="C615" s="2" t="s">
        <v>62</v>
      </c>
      <c r="D615" s="3">
        <v>43098</v>
      </c>
      <c r="E615" s="2">
        <v>450.60014757520003</v>
      </c>
      <c r="F615" s="2">
        <v>4119227467.3660002</v>
      </c>
      <c r="G615" s="2">
        <v>8.8900881817604294</v>
      </c>
      <c r="H615" s="2"/>
      <c r="I615" s="2"/>
    </row>
    <row r="616" spans="3:9" x14ac:dyDescent="0.35">
      <c r="C616" s="2" t="s">
        <v>62</v>
      </c>
      <c r="D616" s="3">
        <v>42734</v>
      </c>
      <c r="E616" s="2">
        <v>419.91601876999999</v>
      </c>
      <c r="F616" s="2">
        <v>3731041379.7474999</v>
      </c>
      <c r="G616" s="2">
        <v>263.94416469170699</v>
      </c>
      <c r="H616" s="2"/>
      <c r="I616" s="2"/>
    </row>
    <row r="617" spans="3:9" x14ac:dyDescent="0.35">
      <c r="C617" s="2" t="s">
        <v>63</v>
      </c>
      <c r="D617" s="3">
        <v>46022</v>
      </c>
      <c r="E617" s="2">
        <v>6820</v>
      </c>
      <c r="F617" s="2">
        <v>5031526473.6000004</v>
      </c>
      <c r="G617" s="2">
        <v>2.19212735850427</v>
      </c>
      <c r="H617" s="2"/>
      <c r="I617" s="2"/>
    </row>
    <row r="618" spans="3:9" x14ac:dyDescent="0.35">
      <c r="C618" s="2" t="s">
        <v>63</v>
      </c>
      <c r="D618" s="3">
        <v>45657</v>
      </c>
      <c r="E618" s="2">
        <v>6855</v>
      </c>
      <c r="F618" s="2">
        <v>5057348090.3999996</v>
      </c>
      <c r="G618" s="2">
        <v>-33.443096626910403</v>
      </c>
      <c r="H618" s="2"/>
      <c r="I618" s="2"/>
    </row>
    <row r="619" spans="3:9" x14ac:dyDescent="0.35">
      <c r="C619" s="2" t="s">
        <v>63</v>
      </c>
      <c r="D619" s="3">
        <v>45289</v>
      </c>
      <c r="E619" s="2">
        <v>10505</v>
      </c>
      <c r="F619" s="2">
        <v>7750173842.3999996</v>
      </c>
      <c r="G619" s="2">
        <v>0.42564555129411802</v>
      </c>
      <c r="H619" s="2"/>
      <c r="I619" s="2"/>
    </row>
    <row r="620" spans="3:9" x14ac:dyDescent="0.35">
      <c r="C620" s="2" t="s">
        <v>63</v>
      </c>
      <c r="D620" s="3">
        <v>44925</v>
      </c>
      <c r="E620">
        <v>10615</v>
      </c>
      <c r="F620">
        <v>7813934499.25</v>
      </c>
      <c r="G620" s="2">
        <v>-33.080459004953902</v>
      </c>
      <c r="H620" s="2"/>
      <c r="I620" s="2"/>
    </row>
    <row r="621" spans="3:9" x14ac:dyDescent="0.35">
      <c r="C621" s="2" t="s">
        <v>63</v>
      </c>
      <c r="D621" s="3">
        <v>44561</v>
      </c>
      <c r="E621">
        <v>16050</v>
      </c>
      <c r="F621">
        <v>11839450704</v>
      </c>
      <c r="G621" s="2">
        <v>43.444494900947198</v>
      </c>
      <c r="H621" s="2"/>
      <c r="I621" s="2"/>
    </row>
    <row r="622" spans="3:9" x14ac:dyDescent="0.35">
      <c r="C622" s="2" t="s">
        <v>63</v>
      </c>
      <c r="D622" s="3">
        <v>44196</v>
      </c>
      <c r="E622">
        <v>11295</v>
      </c>
      <c r="F622">
        <v>8314497425.2499599</v>
      </c>
      <c r="G622">
        <v>28.553043974742501</v>
      </c>
      <c r="H622" s="2"/>
      <c r="I622" s="2"/>
    </row>
    <row r="623" spans="3:9" x14ac:dyDescent="0.35">
      <c r="C623" s="2" t="s">
        <v>63</v>
      </c>
      <c r="D623" s="3">
        <v>43830</v>
      </c>
      <c r="E623">
        <v>8890</v>
      </c>
      <c r="F623">
        <v>6555209343.1999998</v>
      </c>
      <c r="G623" s="2">
        <v>44.317101391058699</v>
      </c>
      <c r="H623" s="2"/>
      <c r="I623" s="2"/>
    </row>
    <row r="624" spans="3:9" x14ac:dyDescent="0.35">
      <c r="C624" s="2" t="s">
        <v>63</v>
      </c>
      <c r="D624" s="3">
        <v>43465</v>
      </c>
      <c r="E624" s="2">
        <v>6240</v>
      </c>
      <c r="F624" s="2">
        <v>4593400968</v>
      </c>
      <c r="G624" s="2">
        <v>12.773612276348</v>
      </c>
      <c r="H624" s="2"/>
      <c r="I624" s="2"/>
    </row>
    <row r="625" spans="3:9" x14ac:dyDescent="0.35">
      <c r="C625" s="2" t="s">
        <v>63</v>
      </c>
      <c r="D625" s="3">
        <v>43098</v>
      </c>
      <c r="E625">
        <v>5620</v>
      </c>
      <c r="F625">
        <v>4134069190</v>
      </c>
      <c r="G625" s="2">
        <v>36.289690877916698</v>
      </c>
      <c r="H625" s="2"/>
      <c r="I625" s="2"/>
    </row>
    <row r="626" spans="3:9" x14ac:dyDescent="0.35">
      <c r="C626" s="2" t="s">
        <v>63</v>
      </c>
      <c r="D626" s="3">
        <v>42734</v>
      </c>
      <c r="E626">
        <v>4184</v>
      </c>
      <c r="F626">
        <v>3076249599.1999998</v>
      </c>
      <c r="G626" s="2">
        <v>29.8827895635754</v>
      </c>
      <c r="H626" s="2"/>
      <c r="I626" s="2"/>
    </row>
    <row r="627" spans="3:9" x14ac:dyDescent="0.35">
      <c r="C627" s="2" t="s">
        <v>64</v>
      </c>
      <c r="D627" s="3">
        <v>46022</v>
      </c>
      <c r="E627">
        <v>152.19999999999999</v>
      </c>
      <c r="F627">
        <v>4112629935.1300001</v>
      </c>
      <c r="G627" s="2">
        <v>21.243092439720201</v>
      </c>
      <c r="H627" s="2"/>
      <c r="I627" s="2"/>
    </row>
    <row r="628" spans="3:9" x14ac:dyDescent="0.35">
      <c r="C628" s="2" t="s">
        <v>64</v>
      </c>
      <c r="D628" s="3">
        <v>45657</v>
      </c>
      <c r="E628">
        <v>132.69999999999999</v>
      </c>
      <c r="F628">
        <v>3291858988.0929999</v>
      </c>
      <c r="G628" s="2">
        <v>-17.435845211389999</v>
      </c>
      <c r="H628" s="2"/>
      <c r="I628" s="2"/>
    </row>
    <row r="629" spans="3:9" x14ac:dyDescent="0.35">
      <c r="C629" s="2" t="s">
        <v>64</v>
      </c>
      <c r="D629" s="3">
        <v>45289</v>
      </c>
      <c r="E629">
        <v>168.9</v>
      </c>
      <c r="F629">
        <v>3215414030.9249902</v>
      </c>
      <c r="G629" s="2">
        <v>28.128292164698099</v>
      </c>
      <c r="H629" s="2"/>
      <c r="I629" s="2"/>
    </row>
    <row r="630" spans="3:9" x14ac:dyDescent="0.35">
      <c r="C630" s="2" t="s">
        <v>64</v>
      </c>
      <c r="D630" s="3">
        <v>44925</v>
      </c>
      <c r="E630" s="2">
        <v>138.6</v>
      </c>
      <c r="F630" s="2">
        <v>2590194210.9120002</v>
      </c>
      <c r="G630" s="2">
        <v>-42.181400006859199</v>
      </c>
      <c r="H630" s="2"/>
      <c r="I630" s="2"/>
    </row>
    <row r="631" spans="3:9" x14ac:dyDescent="0.35">
      <c r="C631" s="2" t="s">
        <v>64</v>
      </c>
      <c r="D631" s="3">
        <v>44561</v>
      </c>
      <c r="E631" s="2">
        <v>249</v>
      </c>
      <c r="F631" s="2">
        <v>4650775461.8999996</v>
      </c>
      <c r="G631" s="2">
        <v>53.134161221097301</v>
      </c>
      <c r="H631" s="2"/>
      <c r="I631" s="2"/>
    </row>
    <row r="632" spans="3:9" x14ac:dyDescent="0.35">
      <c r="C632" s="2" t="s">
        <v>64</v>
      </c>
      <c r="D632" s="3">
        <v>44196</v>
      </c>
      <c r="E632" s="2">
        <v>167.9</v>
      </c>
      <c r="F632" s="2">
        <v>2886439213.1620002</v>
      </c>
      <c r="G632" s="2">
        <v>18.113048315297299</v>
      </c>
      <c r="H632" s="2"/>
      <c r="I632" s="2"/>
    </row>
    <row r="633" spans="3:9" x14ac:dyDescent="0.35">
      <c r="C633" s="2" t="s">
        <v>64</v>
      </c>
      <c r="D633" s="3">
        <v>43830</v>
      </c>
      <c r="E633" s="2">
        <v>148.80000000000001</v>
      </c>
      <c r="F633" s="2">
        <v>2539978722.6239901</v>
      </c>
      <c r="G633" s="2">
        <v>19.525340376887499</v>
      </c>
      <c r="H633" s="2"/>
      <c r="I633" s="2"/>
    </row>
    <row r="634" spans="3:9" x14ac:dyDescent="0.35">
      <c r="C634" s="2" t="s">
        <v>64</v>
      </c>
      <c r="D634" s="3">
        <v>43465</v>
      </c>
      <c r="E634" s="2">
        <v>130.2682446</v>
      </c>
      <c r="F634" s="2">
        <v>1935668455.513</v>
      </c>
      <c r="G634" s="2">
        <v>-7.80466500198742</v>
      </c>
      <c r="H634" s="2"/>
      <c r="I634" s="2"/>
    </row>
    <row r="635" spans="3:9" x14ac:dyDescent="0.35">
      <c r="C635" s="2" t="s">
        <v>64</v>
      </c>
      <c r="D635" s="3">
        <v>43098</v>
      </c>
      <c r="E635" s="2">
        <v>147.7299438</v>
      </c>
      <c r="F635" s="2">
        <v>2030397545.5869901</v>
      </c>
      <c r="G635" s="2">
        <v>12.2585158601635</v>
      </c>
      <c r="H635" s="2"/>
    </row>
    <row r="636" spans="3:9" x14ac:dyDescent="0.35">
      <c r="C636" s="2" t="s">
        <v>64</v>
      </c>
      <c r="D636" s="3">
        <v>42734</v>
      </c>
      <c r="E636" s="2">
        <v>137.52619044709999</v>
      </c>
      <c r="F636" s="2">
        <v>1541697542.9549999</v>
      </c>
      <c r="G636" s="2">
        <v>15.1286178343631</v>
      </c>
      <c r="H636" s="2"/>
      <c r="I636" s="2"/>
    </row>
    <row r="637" spans="3:9" x14ac:dyDescent="0.35">
      <c r="C637" s="2" t="s">
        <v>65</v>
      </c>
      <c r="D637" s="3">
        <v>46022</v>
      </c>
      <c r="E637" s="2">
        <v>586.4</v>
      </c>
      <c r="F637" s="2">
        <v>4967619184.7119999</v>
      </c>
      <c r="G637" s="2">
        <v>-25.072089989865798</v>
      </c>
      <c r="H637" s="2"/>
      <c r="I637" s="2"/>
    </row>
    <row r="638" spans="3:9" x14ac:dyDescent="0.35">
      <c r="C638" s="2" t="s">
        <v>65</v>
      </c>
      <c r="D638" s="3">
        <v>45657</v>
      </c>
      <c r="E638" s="2">
        <v>793</v>
      </c>
      <c r="F638" s="2">
        <v>7052424480.26999</v>
      </c>
      <c r="G638" s="2">
        <v>11.2634443058654</v>
      </c>
      <c r="H638" s="2"/>
      <c r="I638" s="2"/>
    </row>
    <row r="639" spans="3:9" x14ac:dyDescent="0.35">
      <c r="C639" s="2" t="s">
        <v>65</v>
      </c>
      <c r="D639" s="3">
        <v>45289</v>
      </c>
      <c r="E639" s="2">
        <v>721.4</v>
      </c>
      <c r="F639" s="2">
        <v>6558144268.6560001</v>
      </c>
      <c r="G639" s="2">
        <v>41.977301661532401</v>
      </c>
      <c r="H639" s="2"/>
      <c r="I639" s="2"/>
    </row>
    <row r="640" spans="3:9" x14ac:dyDescent="0.35">
      <c r="C640" s="2" t="s">
        <v>65</v>
      </c>
      <c r="D640" s="3">
        <v>44925</v>
      </c>
      <c r="E640" s="2">
        <v>515.6</v>
      </c>
      <c r="F640" s="2">
        <v>4789333978.2959995</v>
      </c>
      <c r="G640" s="2">
        <v>-29.481942342114099</v>
      </c>
      <c r="H640" s="2"/>
      <c r="I640" s="2"/>
    </row>
    <row r="641" spans="3:9" x14ac:dyDescent="0.35">
      <c r="C641" s="2" t="s">
        <v>65</v>
      </c>
      <c r="D641" s="3">
        <v>44561</v>
      </c>
      <c r="E641">
        <v>740</v>
      </c>
      <c r="F641">
        <v>7015450105.1999998</v>
      </c>
      <c r="G641" s="2">
        <v>25.147418549253501</v>
      </c>
      <c r="H641" s="2"/>
      <c r="I641" s="2"/>
    </row>
    <row r="642" spans="3:9" x14ac:dyDescent="0.35">
      <c r="C642" s="2" t="s">
        <v>65</v>
      </c>
      <c r="D642" s="3">
        <v>44196</v>
      </c>
      <c r="E642">
        <v>596</v>
      </c>
      <c r="F642">
        <v>5758196462.1599998</v>
      </c>
      <c r="G642" s="2">
        <v>0.64044413186401505</v>
      </c>
      <c r="H642" s="2"/>
      <c r="I642" s="2"/>
    </row>
    <row r="643" spans="3:9" x14ac:dyDescent="0.35">
      <c r="C643" s="2" t="s">
        <v>65</v>
      </c>
      <c r="D643" s="3">
        <v>43830</v>
      </c>
      <c r="E643">
        <v>594.6</v>
      </c>
      <c r="F643">
        <v>5485545797.3339901</v>
      </c>
      <c r="G643" s="2">
        <v>32.506067427335701</v>
      </c>
      <c r="H643" s="2"/>
      <c r="I643" s="2"/>
    </row>
    <row r="644" spans="3:9" x14ac:dyDescent="0.35">
      <c r="C644" s="2" t="s">
        <v>65</v>
      </c>
      <c r="D644" s="3">
        <v>43465</v>
      </c>
      <c r="E644">
        <v>454.8</v>
      </c>
      <c r="F644">
        <v>4267443508.1159902</v>
      </c>
      <c r="G644" s="2">
        <v>30.735209088296699</v>
      </c>
      <c r="H644" s="2"/>
      <c r="I644" s="2"/>
    </row>
    <row r="645" spans="3:9" x14ac:dyDescent="0.35">
      <c r="C645" s="2" t="s">
        <v>65</v>
      </c>
      <c r="D645" s="3">
        <v>43098</v>
      </c>
      <c r="E645">
        <v>352.8</v>
      </c>
      <c r="F645">
        <v>3378392341.1279998</v>
      </c>
      <c r="G645" s="2">
        <v>-12.5256003969366</v>
      </c>
      <c r="H645" s="2"/>
      <c r="I645" s="2"/>
    </row>
    <row r="646" spans="3:9" x14ac:dyDescent="0.35">
      <c r="C646" s="2" t="s">
        <v>65</v>
      </c>
      <c r="D646" s="3">
        <v>42734</v>
      </c>
      <c r="E646" s="2">
        <v>409</v>
      </c>
      <c r="F646" s="2">
        <v>4020397651.9899902</v>
      </c>
      <c r="G646" s="2">
        <v>-7.5301971095250702</v>
      </c>
      <c r="H646" s="2"/>
      <c r="I646" s="2"/>
    </row>
    <row r="647" spans="3:9" x14ac:dyDescent="0.35">
      <c r="C647" s="2" t="s">
        <v>66</v>
      </c>
      <c r="D647" s="3">
        <v>46022</v>
      </c>
      <c r="E647">
        <v>1824.5</v>
      </c>
      <c r="F647">
        <v>74356138922.565002</v>
      </c>
      <c r="G647" s="2">
        <v>41.412534387953798</v>
      </c>
      <c r="H647" s="2"/>
      <c r="I647" s="2"/>
    </row>
    <row r="648" spans="3:9" x14ac:dyDescent="0.35">
      <c r="C648" s="2" t="s">
        <v>66</v>
      </c>
      <c r="D648" s="3">
        <v>45657</v>
      </c>
      <c r="E648">
        <v>1346.5</v>
      </c>
      <c r="F648">
        <v>55814210176.235001</v>
      </c>
      <c r="G648" s="2">
        <v>-3.5262759751385002</v>
      </c>
      <c r="H648" s="2"/>
      <c r="I648" s="2"/>
    </row>
    <row r="649" spans="3:9" x14ac:dyDescent="0.35">
      <c r="C649" s="2" t="s">
        <v>66</v>
      </c>
      <c r="D649" s="3">
        <v>45289</v>
      </c>
      <c r="E649">
        <v>1450.2</v>
      </c>
      <c r="F649">
        <v>59676386012.471901</v>
      </c>
      <c r="G649" s="2">
        <v>4.9419985431921702</v>
      </c>
      <c r="H649" s="2"/>
      <c r="I649" s="2"/>
    </row>
    <row r="650" spans="3:9" x14ac:dyDescent="0.35">
      <c r="C650" s="2" t="s">
        <v>66</v>
      </c>
      <c r="D650" s="3">
        <v>44925</v>
      </c>
      <c r="E650">
        <v>1437.6</v>
      </c>
      <c r="F650">
        <v>58858203832.056</v>
      </c>
      <c r="G650" s="2">
        <v>-7.3262619465808099</v>
      </c>
      <c r="H650" s="2"/>
      <c r="I650" s="2"/>
    </row>
    <row r="651" spans="3:9" x14ac:dyDescent="0.35">
      <c r="C651" s="2" t="s">
        <v>66</v>
      </c>
      <c r="D651" s="3">
        <v>44561</v>
      </c>
      <c r="E651" s="2">
        <v>1622.7664124999999</v>
      </c>
      <c r="F651" s="2">
        <v>80840564819.992004</v>
      </c>
      <c r="G651" s="2">
        <v>26.840517053467401</v>
      </c>
      <c r="H651" s="2"/>
      <c r="I651" s="2"/>
    </row>
    <row r="652" spans="3:9" x14ac:dyDescent="0.35">
      <c r="C652" s="2" t="s">
        <v>66</v>
      </c>
      <c r="D652" s="3">
        <v>44196</v>
      </c>
      <c r="E652" s="2">
        <v>1355.5038750000001</v>
      </c>
      <c r="F652" s="2">
        <v>67502380811.139999</v>
      </c>
      <c r="G652" s="2">
        <v>-20.652182175433602</v>
      </c>
      <c r="H652" s="2"/>
      <c r="I652" s="2"/>
    </row>
    <row r="653" spans="3:9" x14ac:dyDescent="0.35">
      <c r="C653" s="2" t="s">
        <v>66</v>
      </c>
      <c r="D653" s="3">
        <v>43830</v>
      </c>
      <c r="E653" s="2">
        <v>1796.9011875000001</v>
      </c>
      <c r="F653" s="2">
        <v>88764917838.989502</v>
      </c>
      <c r="G653" s="2">
        <v>25.349391990988</v>
      </c>
      <c r="H653" s="2"/>
      <c r="I653" s="2"/>
    </row>
    <row r="654" spans="3:9" x14ac:dyDescent="0.35">
      <c r="C654" s="2" t="s">
        <v>66</v>
      </c>
      <c r="D654" s="3">
        <v>43465</v>
      </c>
      <c r="E654" s="2">
        <v>1506.2052000000001</v>
      </c>
      <c r="F654" s="2">
        <v>74030052482.688004</v>
      </c>
      <c r="G654" s="2">
        <v>19.041972097187301</v>
      </c>
      <c r="H654" s="2"/>
      <c r="I654" s="2"/>
    </row>
    <row r="655" spans="3:9" x14ac:dyDescent="0.35">
      <c r="C655" s="2" t="s">
        <v>66</v>
      </c>
      <c r="D655" s="3">
        <v>43098</v>
      </c>
      <c r="E655" s="2">
        <v>1335.80765625</v>
      </c>
      <c r="F655" s="2">
        <v>65568860580.75</v>
      </c>
      <c r="G655" s="2">
        <v>-10.783812420758601</v>
      </c>
      <c r="H655" s="2"/>
      <c r="I655" s="2"/>
    </row>
    <row r="656" spans="3:9" x14ac:dyDescent="0.35">
      <c r="C656" s="2" t="s">
        <v>66</v>
      </c>
      <c r="D656" s="3">
        <v>42734</v>
      </c>
      <c r="E656" s="2">
        <v>1577.717625</v>
      </c>
      <c r="F656" s="2">
        <v>76694701011.5</v>
      </c>
      <c r="G656" s="2">
        <v>21.660113461742402</v>
      </c>
      <c r="H656" s="2"/>
      <c r="I656" s="2"/>
    </row>
    <row r="657" spans="3:9" x14ac:dyDescent="0.35">
      <c r="C657" s="2" t="s">
        <v>67</v>
      </c>
      <c r="D657" s="3">
        <v>46022</v>
      </c>
      <c r="E657" s="2">
        <v>3872</v>
      </c>
      <c r="F657" s="2">
        <v>9225022985.2320595</v>
      </c>
      <c r="G657" s="2">
        <v>183.205405479565</v>
      </c>
      <c r="H657" s="2"/>
    </row>
    <row r="658" spans="3:9" x14ac:dyDescent="0.35">
      <c r="C658" s="2" t="s">
        <v>67</v>
      </c>
      <c r="D658" s="3">
        <v>45657</v>
      </c>
      <c r="E658" s="2">
        <v>1425</v>
      </c>
      <c r="F658" s="2">
        <v>3533338913.9144802</v>
      </c>
      <c r="G658" s="2">
        <v>-15.229339700303001</v>
      </c>
      <c r="H658" s="2"/>
      <c r="I658" s="2"/>
    </row>
    <row r="659" spans="3:9" x14ac:dyDescent="0.35">
      <c r="C659" s="2" t="s">
        <v>67</v>
      </c>
      <c r="D659" s="3">
        <v>45289</v>
      </c>
      <c r="E659" s="2">
        <v>1757</v>
      </c>
      <c r="F659" s="2">
        <v>4330664352.9790297</v>
      </c>
      <c r="G659" s="2">
        <v>4.3138947825187302</v>
      </c>
      <c r="H659" s="2"/>
      <c r="I659" s="2"/>
    </row>
    <row r="660" spans="3:9" x14ac:dyDescent="0.35">
      <c r="C660" s="2" t="s">
        <v>67</v>
      </c>
      <c r="D660" s="3">
        <v>44925</v>
      </c>
      <c r="E660" s="2">
        <v>1752</v>
      </c>
      <c r="F660" s="2">
        <v>4350534267.5195904</v>
      </c>
      <c r="G660" s="2">
        <v>8.4319680614956205</v>
      </c>
      <c r="H660" s="2"/>
      <c r="I660" s="2"/>
    </row>
    <row r="661" spans="3:9" x14ac:dyDescent="0.35">
      <c r="C661" s="2" t="s">
        <v>67</v>
      </c>
      <c r="D661" s="3">
        <v>44561</v>
      </c>
      <c r="E661" s="2">
        <v>1670</v>
      </c>
      <c r="F661" s="2">
        <v>4014927320.9893899</v>
      </c>
      <c r="G661" s="2">
        <v>-0.90695072239787</v>
      </c>
      <c r="H661" s="2"/>
      <c r="I661" s="2"/>
    </row>
    <row r="662" spans="3:9" x14ac:dyDescent="0.35">
      <c r="C662" s="2" t="s">
        <v>67</v>
      </c>
      <c r="D662" s="3"/>
      <c r="E662" s="2" t="s">
        <v>100</v>
      </c>
      <c r="F662" s="2" t="s">
        <v>100</v>
      </c>
      <c r="G662" s="2" t="s">
        <v>100</v>
      </c>
      <c r="H662" s="2"/>
      <c r="I662" s="2"/>
    </row>
    <row r="663" spans="3:9" x14ac:dyDescent="0.35">
      <c r="C663" s="2" t="s">
        <v>67</v>
      </c>
      <c r="D663" s="3">
        <v>44196</v>
      </c>
      <c r="E663" s="2" t="s">
        <v>100</v>
      </c>
      <c r="F663">
        <v>2773839938.8845201</v>
      </c>
      <c r="G663" s="2" t="s">
        <v>100</v>
      </c>
      <c r="H663" s="2"/>
      <c r="I663" s="2"/>
    </row>
    <row r="664" spans="3:9" x14ac:dyDescent="0.35">
      <c r="C664" s="2" t="s">
        <v>67</v>
      </c>
      <c r="D664" s="3">
        <v>43830</v>
      </c>
      <c r="E664" s="2" t="s">
        <v>100</v>
      </c>
      <c r="F664">
        <v>1566046261.3389599</v>
      </c>
      <c r="G664" s="2" t="s">
        <v>100</v>
      </c>
      <c r="H664" s="2"/>
      <c r="I664" s="2"/>
    </row>
    <row r="665" spans="3:9" x14ac:dyDescent="0.35">
      <c r="C665" s="2" t="s">
        <v>67</v>
      </c>
      <c r="D665" s="3">
        <v>43465</v>
      </c>
      <c r="E665" s="2" t="s">
        <v>100</v>
      </c>
      <c r="F665">
        <v>1383688287.1217999</v>
      </c>
      <c r="G665" s="2" t="s">
        <v>100</v>
      </c>
      <c r="H665" s="2"/>
      <c r="I665" s="2"/>
    </row>
    <row r="666" spans="3:9" x14ac:dyDescent="0.35">
      <c r="C666" s="2" t="s">
        <v>67</v>
      </c>
      <c r="D666" s="3">
        <v>43098</v>
      </c>
      <c r="E666" s="2" t="s">
        <v>100</v>
      </c>
      <c r="F666">
        <v>1621415530.5794499</v>
      </c>
      <c r="G666" s="2" t="s">
        <v>100</v>
      </c>
      <c r="H666" s="2"/>
      <c r="I666" s="2"/>
    </row>
    <row r="667" spans="3:9" x14ac:dyDescent="0.35">
      <c r="C667" s="2" t="s">
        <v>67</v>
      </c>
      <c r="D667" s="3">
        <v>42734</v>
      </c>
      <c r="E667" s="2" t="s">
        <v>100</v>
      </c>
      <c r="F667">
        <v>1130889080.36111</v>
      </c>
      <c r="G667" s="2" t="s">
        <v>100</v>
      </c>
      <c r="H667" s="2"/>
      <c r="I667" s="2"/>
    </row>
    <row r="668" spans="3:9" x14ac:dyDescent="0.35">
      <c r="C668" s="2" t="s">
        <v>68</v>
      </c>
      <c r="D668" s="3">
        <v>46022</v>
      </c>
      <c r="E668" s="2">
        <v>205.6</v>
      </c>
      <c r="F668" s="2">
        <v>3784570110.152</v>
      </c>
      <c r="G668" s="2">
        <v>58.010169416228699</v>
      </c>
      <c r="H668" s="2"/>
    </row>
    <row r="669" spans="3:9" x14ac:dyDescent="0.35">
      <c r="C669" s="2" t="s">
        <v>68</v>
      </c>
      <c r="D669" s="3">
        <v>45657</v>
      </c>
      <c r="E669">
        <v>141.15</v>
      </c>
      <c r="F669">
        <v>2598208220.8334999</v>
      </c>
      <c r="G669" s="2">
        <v>-12.8878298931633</v>
      </c>
      <c r="H669" s="2"/>
      <c r="I669" s="2"/>
    </row>
    <row r="670" spans="3:9" x14ac:dyDescent="0.35">
      <c r="C670" s="2" t="s">
        <v>68</v>
      </c>
      <c r="D670" s="3">
        <v>45289</v>
      </c>
      <c r="E670">
        <v>178.65</v>
      </c>
      <c r="F670">
        <v>3291237043.1099901</v>
      </c>
      <c r="G670" s="2">
        <v>2.0949935655707699</v>
      </c>
      <c r="H670" s="2"/>
      <c r="I670" s="2"/>
    </row>
    <row r="671" spans="3:9" x14ac:dyDescent="0.35">
      <c r="C671" s="2" t="s">
        <v>68</v>
      </c>
      <c r="D671" s="3">
        <v>44925</v>
      </c>
      <c r="E671">
        <v>189.25</v>
      </c>
      <c r="F671">
        <v>3798328763.9499998</v>
      </c>
      <c r="G671" s="2">
        <v>-14.9446528775237</v>
      </c>
      <c r="H671" s="2"/>
      <c r="I671" s="2"/>
    </row>
    <row r="672" spans="3:9" x14ac:dyDescent="0.35">
      <c r="C672" s="2" t="s">
        <v>68</v>
      </c>
      <c r="D672" s="3">
        <v>44561</v>
      </c>
      <c r="E672" s="2">
        <v>240.9</v>
      </c>
      <c r="F672" s="2">
        <v>5253366009.474</v>
      </c>
      <c r="G672" s="2">
        <v>-9.7313676913444809</v>
      </c>
      <c r="H672" s="2"/>
      <c r="I672" s="2"/>
    </row>
    <row r="673" spans="3:9" x14ac:dyDescent="0.35">
      <c r="C673" s="2" t="s">
        <v>68</v>
      </c>
      <c r="D673" s="3">
        <v>44196</v>
      </c>
      <c r="E673" s="2">
        <v>281.3</v>
      </c>
      <c r="F673" s="2">
        <v>6172047227.8079901</v>
      </c>
      <c r="G673" s="2">
        <v>-5.1658367223366097</v>
      </c>
      <c r="H673" s="2"/>
      <c r="I673" s="2"/>
    </row>
    <row r="674" spans="3:9" x14ac:dyDescent="0.35">
      <c r="C674" s="2" t="s">
        <v>68</v>
      </c>
      <c r="D674" s="3">
        <v>43830</v>
      </c>
      <c r="E674" s="2">
        <v>328.1</v>
      </c>
      <c r="F674" s="2">
        <v>7673352538.4439297</v>
      </c>
      <c r="G674" s="2">
        <v>38.772219772191903</v>
      </c>
      <c r="H674" s="2"/>
      <c r="I674" s="2"/>
    </row>
    <row r="675" spans="3:9" x14ac:dyDescent="0.35">
      <c r="C675" s="2" t="s">
        <v>68</v>
      </c>
      <c r="D675" s="3">
        <v>43465</v>
      </c>
      <c r="E675" s="2">
        <v>256.75</v>
      </c>
      <c r="F675" s="2">
        <v>6492231072.0474901</v>
      </c>
      <c r="G675" s="2">
        <v>-37.0234496251853</v>
      </c>
      <c r="H675" s="2"/>
      <c r="I675" s="2"/>
    </row>
    <row r="676" spans="3:9" x14ac:dyDescent="0.35">
      <c r="C676" s="2" t="s">
        <v>68</v>
      </c>
      <c r="D676" s="3">
        <v>43098</v>
      </c>
      <c r="E676" s="2">
        <v>433.3621202297</v>
      </c>
      <c r="F676" s="2">
        <v>13006038404.982</v>
      </c>
      <c r="G676" s="2">
        <v>23.673981951904199</v>
      </c>
      <c r="H676" s="2"/>
      <c r="I676" s="2"/>
    </row>
    <row r="677" spans="3:9" x14ac:dyDescent="0.35">
      <c r="C677" s="2" t="s">
        <v>68</v>
      </c>
      <c r="D677" s="4">
        <v>42734</v>
      </c>
      <c r="E677">
        <v>369.2412018448</v>
      </c>
      <c r="F677" s="2">
        <v>7361024452.0799999</v>
      </c>
      <c r="G677" s="2">
        <v>0.649755661060469</v>
      </c>
      <c r="H677" s="2"/>
      <c r="I677" s="2"/>
    </row>
    <row r="678" spans="3:9" x14ac:dyDescent="0.35">
      <c r="C678" s="2" t="s">
        <v>69</v>
      </c>
      <c r="D678" s="4">
        <v>46022</v>
      </c>
      <c r="E678">
        <v>286.39999999999998</v>
      </c>
      <c r="F678" s="2">
        <v>6899690982.7200003</v>
      </c>
      <c r="G678" s="2">
        <v>58.342976486663098</v>
      </c>
      <c r="H678" s="2"/>
      <c r="I678" s="2"/>
    </row>
    <row r="679" spans="3:9" x14ac:dyDescent="0.35">
      <c r="C679" s="2" t="s">
        <v>69</v>
      </c>
      <c r="D679" s="4">
        <v>45657</v>
      </c>
      <c r="E679" s="2">
        <v>197.85</v>
      </c>
      <c r="F679" s="2">
        <v>4755827791.5389996</v>
      </c>
      <c r="G679" s="2">
        <v>-2.6611379719995201</v>
      </c>
      <c r="H679" s="2"/>
      <c r="I679" s="2"/>
    </row>
    <row r="680" spans="3:9" x14ac:dyDescent="0.35">
      <c r="C680" s="2" t="s">
        <v>69</v>
      </c>
      <c r="D680" s="4">
        <v>45289</v>
      </c>
      <c r="E680">
        <v>222.4</v>
      </c>
      <c r="F680" s="2">
        <v>5266561025.3599997</v>
      </c>
      <c r="G680" s="2">
        <v>31.331111288202099</v>
      </c>
      <c r="H680" s="2"/>
      <c r="I680" s="2"/>
    </row>
    <row r="681" spans="3:9" x14ac:dyDescent="0.35">
      <c r="C681" s="2" t="s">
        <v>69</v>
      </c>
      <c r="D681" s="4">
        <v>44925</v>
      </c>
      <c r="E681">
        <v>187.85</v>
      </c>
      <c r="F681" s="2">
        <v>4410425354.1204996</v>
      </c>
      <c r="G681" s="2">
        <v>2.42105367575649</v>
      </c>
      <c r="H681" s="2"/>
      <c r="I681" s="2"/>
    </row>
    <row r="682" spans="3:9" x14ac:dyDescent="0.35">
      <c r="C682" s="2" t="s">
        <v>69</v>
      </c>
      <c r="D682" s="3">
        <v>44561</v>
      </c>
      <c r="E682">
        <v>199.5</v>
      </c>
      <c r="F682">
        <v>5185692415.1549997</v>
      </c>
      <c r="G682">
        <v>9.89621278530384</v>
      </c>
      <c r="H682" s="2"/>
      <c r="I682" s="2"/>
    </row>
    <row r="683" spans="3:9" x14ac:dyDescent="0.35">
      <c r="C683" s="2" t="s">
        <v>69</v>
      </c>
      <c r="D683" s="3">
        <v>44196</v>
      </c>
      <c r="E683">
        <v>197.95</v>
      </c>
      <c r="F683">
        <v>5146515641.2469997</v>
      </c>
      <c r="G683" s="2">
        <v>-3.0042354525847901</v>
      </c>
      <c r="H683" s="2"/>
      <c r="I683" s="2"/>
    </row>
    <row r="684" spans="3:9" x14ac:dyDescent="0.35">
      <c r="C684" s="2" t="s">
        <v>69</v>
      </c>
      <c r="D684" s="3">
        <v>43830</v>
      </c>
      <c r="E684">
        <v>230.94503599999999</v>
      </c>
      <c r="F684">
        <v>6166979086.1520004</v>
      </c>
      <c r="G684" s="2">
        <v>8.8073394494434307</v>
      </c>
      <c r="H684" s="2"/>
      <c r="I684" s="2"/>
    </row>
    <row r="685" spans="3:9" x14ac:dyDescent="0.35">
      <c r="C685" s="2" t="s">
        <v>69</v>
      </c>
      <c r="D685" s="3"/>
      <c r="E685" s="2" t="s">
        <v>100</v>
      </c>
      <c r="F685" s="2" t="s">
        <v>100</v>
      </c>
      <c r="G685" s="2" t="s">
        <v>100</v>
      </c>
      <c r="H685" s="2"/>
      <c r="I685" s="2"/>
    </row>
    <row r="686" spans="3:9" x14ac:dyDescent="0.35">
      <c r="C686" s="2" t="s">
        <v>70</v>
      </c>
      <c r="D686" s="3">
        <v>46022</v>
      </c>
      <c r="E686">
        <v>98.88</v>
      </c>
      <c r="F686">
        <v>23240112418.694401</v>
      </c>
      <c r="G686" s="2">
        <v>51.850772078593501</v>
      </c>
      <c r="H686" s="2"/>
      <c r="I686" s="2"/>
    </row>
    <row r="687" spans="3:9" x14ac:dyDescent="0.35">
      <c r="C687" s="2" t="s">
        <v>70</v>
      </c>
      <c r="D687" s="3">
        <v>45657</v>
      </c>
      <c r="E687" s="2">
        <v>68.3</v>
      </c>
      <c r="F687" s="2">
        <v>17422587746.334999</v>
      </c>
      <c r="G687" s="2">
        <v>7.7210786600009396</v>
      </c>
      <c r="H687" s="2"/>
      <c r="I687" s="2"/>
    </row>
    <row r="688" spans="3:9" x14ac:dyDescent="0.35">
      <c r="C688" s="2" t="s">
        <v>70</v>
      </c>
      <c r="D688" s="3">
        <v>45289</v>
      </c>
      <c r="E688" s="2">
        <v>68.56</v>
      </c>
      <c r="F688" s="2">
        <v>18564940684.011902</v>
      </c>
      <c r="G688" s="2">
        <v>-9.7267073903745196</v>
      </c>
      <c r="H688" s="2"/>
      <c r="I688" s="2"/>
    </row>
    <row r="689" spans="3:9" x14ac:dyDescent="0.35">
      <c r="C689" s="2" t="s">
        <v>70</v>
      </c>
      <c r="D689" s="3">
        <v>44925</v>
      </c>
      <c r="E689" s="2">
        <v>84.24</v>
      </c>
      <c r="F689" s="2">
        <v>23003390460.6791</v>
      </c>
      <c r="G689" s="2">
        <v>-19.416355686363399</v>
      </c>
      <c r="H689" s="2"/>
      <c r="I689" s="2"/>
    </row>
    <row r="690" spans="3:9" x14ac:dyDescent="0.35">
      <c r="C690" s="2" t="s">
        <v>70</v>
      </c>
      <c r="D690" s="3">
        <v>44561</v>
      </c>
      <c r="E690" s="2">
        <v>112.26</v>
      </c>
      <c r="F690" s="2">
        <v>30510463682.0658</v>
      </c>
      <c r="G690" s="2">
        <v>-1.18565505235608</v>
      </c>
      <c r="H690" s="2"/>
    </row>
    <row r="691" spans="3:9" x14ac:dyDescent="0.35">
      <c r="C691" s="2" t="s">
        <v>70</v>
      </c>
      <c r="D691" s="3">
        <v>44196</v>
      </c>
      <c r="E691" s="2">
        <v>120.94</v>
      </c>
      <c r="F691" s="2">
        <v>32453088652.0546</v>
      </c>
      <c r="G691" s="2">
        <v>-12.224728964117</v>
      </c>
      <c r="H691" s="2"/>
      <c r="I691" s="2"/>
    </row>
    <row r="692" spans="3:9" x14ac:dyDescent="0.35">
      <c r="C692" s="2" t="s">
        <v>70</v>
      </c>
      <c r="D692" s="3">
        <v>43830</v>
      </c>
      <c r="E692" s="2">
        <v>146.76</v>
      </c>
      <c r="F692" s="2">
        <v>39289091520.409203</v>
      </c>
      <c r="G692" s="2">
        <v>1.21155071508112</v>
      </c>
      <c r="H692" s="2"/>
      <c r="I692" s="2"/>
    </row>
    <row r="693" spans="3:9" x14ac:dyDescent="0.35">
      <c r="C693" s="2" t="s">
        <v>70</v>
      </c>
      <c r="D693" s="3">
        <v>43465</v>
      </c>
      <c r="E693" s="2">
        <v>152.9</v>
      </c>
      <c r="F693" s="2">
        <v>40854828848.834</v>
      </c>
      <c r="G693" s="2">
        <v>-29.884501506805499</v>
      </c>
      <c r="H693" s="2"/>
      <c r="I693" s="2"/>
    </row>
    <row r="694" spans="3:9" x14ac:dyDescent="0.35">
      <c r="C694" s="2" t="s">
        <v>70</v>
      </c>
      <c r="D694" s="3">
        <v>43098</v>
      </c>
      <c r="E694" s="2">
        <v>235</v>
      </c>
      <c r="F694" s="2">
        <v>62684124305.150002</v>
      </c>
      <c r="G694" s="2">
        <v>24.718737061476499</v>
      </c>
      <c r="H694" s="2"/>
      <c r="I694" s="2"/>
    </row>
    <row r="695" spans="3:9" x14ac:dyDescent="0.35">
      <c r="C695" s="2" t="s">
        <v>70</v>
      </c>
      <c r="D695" s="3">
        <v>42734</v>
      </c>
      <c r="E695" s="2">
        <v>199.85</v>
      </c>
      <c r="F695" s="2">
        <v>53194541945.153</v>
      </c>
      <c r="G695" s="2">
        <v>-4.4697283156219703</v>
      </c>
      <c r="H695" s="2"/>
      <c r="I695" s="2"/>
    </row>
    <row r="696" spans="3:9" x14ac:dyDescent="0.35">
      <c r="C696" s="2" t="s">
        <v>71</v>
      </c>
      <c r="D696" s="3">
        <v>46022</v>
      </c>
      <c r="E696" s="2">
        <v>18920</v>
      </c>
      <c r="F696" s="2">
        <v>6251574212.3999996</v>
      </c>
      <c r="G696" s="2">
        <v>48.477039179543503</v>
      </c>
      <c r="H696" s="2"/>
      <c r="I696" s="2"/>
    </row>
    <row r="697" spans="3:9" x14ac:dyDescent="0.35">
      <c r="C697" s="2" t="s">
        <v>71</v>
      </c>
      <c r="D697" s="3">
        <v>45657</v>
      </c>
      <c r="E697" s="2">
        <v>13310</v>
      </c>
      <c r="F697" s="2">
        <v>4388339609.4999905</v>
      </c>
      <c r="G697" s="2">
        <v>40.324077337158101</v>
      </c>
      <c r="H697" s="2"/>
      <c r="I697" s="2"/>
    </row>
    <row r="698" spans="3:9" x14ac:dyDescent="0.35">
      <c r="C698" s="2" t="s">
        <v>71</v>
      </c>
      <c r="D698" s="3">
        <v>45289</v>
      </c>
      <c r="E698">
        <v>9870</v>
      </c>
      <c r="F698">
        <v>3251995828.1999998</v>
      </c>
      <c r="G698" s="2">
        <v>20.480990741928899</v>
      </c>
      <c r="H698" s="2"/>
      <c r="I698" s="2"/>
    </row>
    <row r="699" spans="3:9" x14ac:dyDescent="0.35">
      <c r="C699" s="2" t="s">
        <v>71</v>
      </c>
      <c r="D699" s="4">
        <v>44925</v>
      </c>
      <c r="E699" s="2">
        <v>8565</v>
      </c>
      <c r="F699" s="2">
        <v>2818532856.5999999</v>
      </c>
      <c r="G699" s="2">
        <v>-10.4539221771428</v>
      </c>
      <c r="H699" s="2"/>
      <c r="I699" s="2"/>
    </row>
    <row r="700" spans="3:9" x14ac:dyDescent="0.35">
      <c r="C700" s="2" t="s">
        <v>71</v>
      </c>
      <c r="D700" s="4">
        <v>44561</v>
      </c>
      <c r="E700" s="2">
        <v>9970</v>
      </c>
      <c r="F700" s="2">
        <v>3274018988.1999998</v>
      </c>
      <c r="G700" s="2">
        <v>-9.3111972853588991</v>
      </c>
      <c r="H700" s="2"/>
      <c r="I700" s="2"/>
    </row>
    <row r="701" spans="3:9" x14ac:dyDescent="0.35">
      <c r="C701" s="2" t="s">
        <v>71</v>
      </c>
      <c r="D701" s="4">
        <v>44196</v>
      </c>
      <c r="E701" s="2">
        <v>11200</v>
      </c>
      <c r="F701" s="2">
        <v>3670578464</v>
      </c>
      <c r="G701" s="2">
        <v>87.269148800450395</v>
      </c>
      <c r="H701" s="2"/>
      <c r="I701" s="2"/>
    </row>
    <row r="702" spans="3:9" x14ac:dyDescent="0.35">
      <c r="C702" s="2" t="s">
        <v>71</v>
      </c>
      <c r="D702" s="3">
        <v>43830</v>
      </c>
      <c r="E702">
        <v>6105</v>
      </c>
      <c r="F702">
        <v>1994798920.95</v>
      </c>
      <c r="G702">
        <v>108.35377213229</v>
      </c>
      <c r="H702" s="2"/>
      <c r="I702" s="2"/>
    </row>
    <row r="703" spans="3:9" x14ac:dyDescent="0.35">
      <c r="C703" s="2" t="s">
        <v>71</v>
      </c>
      <c r="D703" s="3">
        <v>43465</v>
      </c>
      <c r="E703">
        <v>3040</v>
      </c>
      <c r="F703">
        <v>987871924.79999304</v>
      </c>
      <c r="G703" s="2">
        <v>20.7849855508858</v>
      </c>
      <c r="H703" s="2"/>
      <c r="I703" s="2"/>
    </row>
    <row r="704" spans="3:9" x14ac:dyDescent="0.35">
      <c r="C704" s="2" t="s">
        <v>71</v>
      </c>
      <c r="D704" s="3">
        <v>43098</v>
      </c>
      <c r="E704">
        <v>2633</v>
      </c>
      <c r="F704">
        <v>851516386.46999395</v>
      </c>
      <c r="G704" s="2">
        <v>311.01410120908599</v>
      </c>
      <c r="H704" s="2"/>
      <c r="I704" s="2"/>
    </row>
    <row r="705" spans="3:9" x14ac:dyDescent="0.35">
      <c r="C705" s="2" t="s">
        <v>71</v>
      </c>
      <c r="D705" s="3">
        <v>42734</v>
      </c>
      <c r="E705">
        <v>713.5</v>
      </c>
      <c r="F705">
        <v>229200302.03</v>
      </c>
      <c r="G705" s="2">
        <v>32.5665007967999</v>
      </c>
      <c r="H705" s="2"/>
      <c r="I705" s="2"/>
    </row>
    <row r="706" spans="3:9" x14ac:dyDescent="0.35">
      <c r="C706" s="2" t="s">
        <v>72</v>
      </c>
      <c r="D706" s="3">
        <v>46022</v>
      </c>
      <c r="E706">
        <v>1186</v>
      </c>
      <c r="F706">
        <v>12902762688.299999</v>
      </c>
      <c r="G706" s="2">
        <v>24.721504628394001</v>
      </c>
      <c r="H706" s="2"/>
      <c r="I706" s="2"/>
    </row>
    <row r="707" spans="3:9" x14ac:dyDescent="0.35">
      <c r="C707" s="2" t="s">
        <v>72</v>
      </c>
      <c r="D707" s="3">
        <v>45657</v>
      </c>
      <c r="E707">
        <v>955</v>
      </c>
      <c r="F707">
        <v>11952075257.75</v>
      </c>
      <c r="G707" s="2">
        <v>18.745620385010401</v>
      </c>
      <c r="H707" s="2"/>
      <c r="I707" s="2"/>
    </row>
    <row r="708" spans="3:9" x14ac:dyDescent="0.35">
      <c r="C708" s="2" t="s">
        <v>72</v>
      </c>
      <c r="D708" s="3">
        <v>45289</v>
      </c>
      <c r="E708" s="2">
        <v>808</v>
      </c>
      <c r="F708" s="2">
        <v>11329477848</v>
      </c>
      <c r="G708" s="2">
        <v>12.450973896409501</v>
      </c>
      <c r="H708" s="2"/>
      <c r="I708" s="2"/>
    </row>
    <row r="709" spans="3:9" x14ac:dyDescent="0.35">
      <c r="C709" s="2" t="s">
        <v>72</v>
      </c>
      <c r="D709" s="3">
        <v>44925</v>
      </c>
      <c r="E709" s="2">
        <v>722.8</v>
      </c>
      <c r="F709" s="2">
        <v>10244247594.7759</v>
      </c>
      <c r="G709" s="2">
        <v>-45.704536224869599</v>
      </c>
      <c r="H709" s="2"/>
      <c r="I709" s="2"/>
    </row>
    <row r="710" spans="3:9" x14ac:dyDescent="0.35">
      <c r="C710" s="2" t="s">
        <v>72</v>
      </c>
      <c r="D710" s="3">
        <v>44561</v>
      </c>
      <c r="E710" s="2">
        <v>1337.5</v>
      </c>
      <c r="F710" s="2">
        <v>19338901719.75</v>
      </c>
      <c r="G710" s="2">
        <v>10.463992478224601</v>
      </c>
      <c r="H710" s="2"/>
      <c r="I710" s="2"/>
    </row>
    <row r="711" spans="3:9" x14ac:dyDescent="0.35">
      <c r="C711" s="2" t="s">
        <v>72</v>
      </c>
      <c r="D711" s="3">
        <v>44196</v>
      </c>
      <c r="E711" s="2">
        <v>1214</v>
      </c>
      <c r="F711" s="2">
        <v>17587366605.740002</v>
      </c>
      <c r="G711" s="2">
        <v>110.489026980866</v>
      </c>
      <c r="H711" s="2"/>
      <c r="I711" s="2"/>
    </row>
    <row r="712" spans="3:9" x14ac:dyDescent="0.35">
      <c r="C712" s="2" t="s">
        <v>72</v>
      </c>
      <c r="D712" s="3">
        <v>43830</v>
      </c>
      <c r="E712" s="2">
        <v>579</v>
      </c>
      <c r="F712" s="2">
        <v>8445350788.3199902</v>
      </c>
      <c r="G712" s="2">
        <v>24.7584362047387</v>
      </c>
      <c r="H712" s="2"/>
    </row>
    <row r="713" spans="3:9" x14ac:dyDescent="0.35">
      <c r="C713" s="2" t="s">
        <v>72</v>
      </c>
      <c r="D713" s="3">
        <v>43465</v>
      </c>
      <c r="E713">
        <v>466.95</v>
      </c>
      <c r="F713">
        <v>6803022006.6599998</v>
      </c>
      <c r="G713" s="2">
        <v>4.6268723205406204</v>
      </c>
      <c r="H713" s="2"/>
      <c r="I713" s="2"/>
    </row>
    <row r="714" spans="3:9" x14ac:dyDescent="0.35">
      <c r="C714" s="2" t="s">
        <v>72</v>
      </c>
      <c r="D714" s="3">
        <v>43098</v>
      </c>
      <c r="E714">
        <v>449</v>
      </c>
      <c r="F714">
        <v>6298883987.6499996</v>
      </c>
      <c r="G714" s="2">
        <v>41.074023676477502</v>
      </c>
      <c r="H714" s="2"/>
      <c r="I714" s="2"/>
    </row>
    <row r="715" spans="3:9" x14ac:dyDescent="0.35">
      <c r="C715" s="2" t="s">
        <v>72</v>
      </c>
      <c r="D715" s="3">
        <v>42734</v>
      </c>
      <c r="E715">
        <v>320.5</v>
      </c>
      <c r="F715">
        <v>4253578199.4250002</v>
      </c>
      <c r="G715" s="2">
        <v>16.541897166685001</v>
      </c>
      <c r="H715" s="2"/>
      <c r="I715" s="2"/>
    </row>
    <row r="716" spans="3:9" x14ac:dyDescent="0.35">
      <c r="C716" s="2" t="s">
        <v>73</v>
      </c>
      <c r="D716" s="3">
        <v>46022</v>
      </c>
      <c r="E716">
        <v>406.55</v>
      </c>
      <c r="F716">
        <v>47744238225.114502</v>
      </c>
      <c r="G716" s="2">
        <v>18.2782378882223</v>
      </c>
      <c r="H716" s="2"/>
      <c r="I716" s="2"/>
    </row>
    <row r="717" spans="3:9" x14ac:dyDescent="0.35">
      <c r="C717" s="2" t="s">
        <v>73</v>
      </c>
      <c r="D717" s="3">
        <v>45657</v>
      </c>
      <c r="E717">
        <v>353.4</v>
      </c>
      <c r="F717">
        <v>43117316063.105904</v>
      </c>
      <c r="G717" s="2">
        <v>-23.3624788489963</v>
      </c>
      <c r="H717" s="2"/>
      <c r="I717" s="2"/>
    </row>
    <row r="718" spans="3:9" x14ac:dyDescent="0.35">
      <c r="C718" s="2" t="s">
        <v>73</v>
      </c>
      <c r="D718" s="3">
        <v>45289</v>
      </c>
      <c r="E718">
        <v>472.1</v>
      </c>
      <c r="F718">
        <v>57671957693.439003</v>
      </c>
      <c r="G718" s="2">
        <v>-6.1856831455492696</v>
      </c>
      <c r="H718" s="2"/>
      <c r="I718" s="2"/>
    </row>
    <row r="719" spans="3:9" x14ac:dyDescent="0.35">
      <c r="C719" s="2" t="s">
        <v>73</v>
      </c>
      <c r="D719" s="3">
        <v>44925</v>
      </c>
      <c r="E719">
        <v>544.48134600000003</v>
      </c>
      <c r="F719">
        <v>70791581513.988007</v>
      </c>
      <c r="G719" s="2">
        <v>56.982556466375897</v>
      </c>
      <c r="H719" s="2"/>
      <c r="I719" s="2"/>
    </row>
    <row r="720" spans="3:9" x14ac:dyDescent="0.35">
      <c r="C720" s="2" t="s">
        <v>73</v>
      </c>
      <c r="D720" s="3">
        <v>44561</v>
      </c>
      <c r="E720">
        <v>362.1865465157</v>
      </c>
      <c r="F720">
        <v>49466914788.082397</v>
      </c>
      <c r="G720" s="2">
        <v>66.5853793161357</v>
      </c>
      <c r="H720" s="2"/>
      <c r="I720" s="2"/>
    </row>
    <row r="721" spans="3:9" x14ac:dyDescent="0.35">
      <c r="C721" s="2" t="s">
        <v>73</v>
      </c>
      <c r="D721" s="3">
        <v>44196</v>
      </c>
      <c r="E721">
        <v>223.0832534056</v>
      </c>
      <c r="F721">
        <v>31045648220.529999</v>
      </c>
      <c r="G721" s="2">
        <v>-0.99851285357335196</v>
      </c>
      <c r="H721" s="2"/>
      <c r="I721" s="2"/>
    </row>
    <row r="722" spans="3:9" x14ac:dyDescent="0.35">
      <c r="C722" s="2" t="s">
        <v>73</v>
      </c>
      <c r="D722" s="3">
        <v>43830</v>
      </c>
      <c r="E722">
        <v>225.33323471669999</v>
      </c>
      <c r="F722">
        <v>31358769565.2435</v>
      </c>
      <c r="G722">
        <v>-14.7896229698854</v>
      </c>
      <c r="H722" s="2"/>
      <c r="I722" s="2"/>
    </row>
    <row r="723" spans="3:9" x14ac:dyDescent="0.35">
      <c r="C723" s="2" t="s">
        <v>73</v>
      </c>
      <c r="D723" s="3">
        <v>43465</v>
      </c>
      <c r="E723" s="2">
        <v>278.94981064249998</v>
      </c>
      <c r="F723" s="2">
        <v>40782268556.367996</v>
      </c>
      <c r="G723" s="2">
        <v>-22.0528288769118</v>
      </c>
      <c r="H723" s="2"/>
      <c r="I723" s="2"/>
    </row>
    <row r="724" spans="3:9" x14ac:dyDescent="0.35">
      <c r="C724" s="2" t="s">
        <v>73</v>
      </c>
      <c r="D724" s="3">
        <v>43098</v>
      </c>
      <c r="E724" s="2">
        <v>373.40115376900002</v>
      </c>
      <c r="F724" s="2">
        <v>56139489900</v>
      </c>
      <c r="G724" s="2">
        <v>42.963002178582101</v>
      </c>
      <c r="H724" s="2"/>
      <c r="I724" s="2"/>
    </row>
    <row r="725" spans="3:9" x14ac:dyDescent="0.35">
      <c r="C725" s="2" t="s">
        <v>73</v>
      </c>
      <c r="D725" s="3">
        <v>42734</v>
      </c>
      <c r="E725" s="2">
        <v>265.54566666109997</v>
      </c>
      <c r="F725" s="2">
        <v>39923814163.499901</v>
      </c>
      <c r="G725" s="2">
        <v>206.53183023935</v>
      </c>
      <c r="H725" s="2"/>
      <c r="I725" s="2"/>
    </row>
    <row r="726" spans="3:9" x14ac:dyDescent="0.35">
      <c r="C726" s="2" t="s">
        <v>74</v>
      </c>
      <c r="D726" s="3">
        <v>46022</v>
      </c>
      <c r="E726" s="2">
        <v>31.174092272100001</v>
      </c>
      <c r="F726" s="2">
        <v>54158657591.528198</v>
      </c>
      <c r="G726" s="2">
        <v>-9.6059453938974002</v>
      </c>
      <c r="H726" s="2"/>
      <c r="I726" s="2"/>
    </row>
    <row r="727" spans="3:9" x14ac:dyDescent="0.35">
      <c r="C727" s="2" t="s">
        <v>74</v>
      </c>
      <c r="D727" s="3">
        <v>45657</v>
      </c>
      <c r="E727" s="2">
        <v>35.103821331799999</v>
      </c>
      <c r="F727" s="2">
        <v>56531454228.675102</v>
      </c>
      <c r="G727" s="2">
        <v>26.475474157413199</v>
      </c>
      <c r="H727" s="2"/>
      <c r="I727" s="2"/>
    </row>
    <row r="728" spans="3:9" x14ac:dyDescent="0.35">
      <c r="C728" s="2" t="s">
        <v>74</v>
      </c>
      <c r="D728" s="3">
        <v>45289</v>
      </c>
      <c r="E728">
        <v>28.2993240339</v>
      </c>
      <c r="F728">
        <v>46709128287.9291</v>
      </c>
      <c r="G728" s="2">
        <v>13.8832609641091</v>
      </c>
      <c r="H728" s="2"/>
      <c r="I728" s="2"/>
    </row>
    <row r="729" spans="3:9" x14ac:dyDescent="0.35">
      <c r="C729" s="2" t="s">
        <v>74</v>
      </c>
      <c r="D729" s="3">
        <v>44925</v>
      </c>
      <c r="E729" s="2">
        <v>25.286092187800001</v>
      </c>
      <c r="F729" s="2">
        <v>40682640733.260696</v>
      </c>
      <c r="G729" s="2">
        <v>17.718890064290601</v>
      </c>
      <c r="H729" s="2"/>
      <c r="I729" s="2"/>
    </row>
    <row r="730" spans="3:9" x14ac:dyDescent="0.35">
      <c r="C730" s="2" t="s">
        <v>74</v>
      </c>
      <c r="D730" s="3">
        <v>44561</v>
      </c>
      <c r="E730" s="2">
        <v>21.771753951499999</v>
      </c>
      <c r="F730">
        <v>39852485668.213402</v>
      </c>
      <c r="G730" s="2">
        <v>21.129860602500901</v>
      </c>
      <c r="H730" s="2"/>
      <c r="I730" s="2"/>
    </row>
    <row r="731" spans="3:9" x14ac:dyDescent="0.35">
      <c r="C731" s="2" t="s">
        <v>74</v>
      </c>
      <c r="D731" s="3">
        <v>44196</v>
      </c>
      <c r="E731" s="2">
        <v>17.9738949945</v>
      </c>
      <c r="F731">
        <v>33244764975.498001</v>
      </c>
      <c r="G731" s="2">
        <v>-26.884843864381502</v>
      </c>
      <c r="H731" s="2"/>
      <c r="I731" s="2"/>
    </row>
    <row r="732" spans="3:9" x14ac:dyDescent="0.35">
      <c r="C732" s="2" t="s">
        <v>74</v>
      </c>
      <c r="D732" s="3">
        <v>43830</v>
      </c>
      <c r="E732" s="2">
        <v>24.9234494054</v>
      </c>
      <c r="F732">
        <v>39796430455.847198</v>
      </c>
      <c r="G732" s="2">
        <v>17.108450828762301</v>
      </c>
      <c r="H732" s="2"/>
      <c r="I732" s="2"/>
    </row>
    <row r="733" spans="3:9" x14ac:dyDescent="0.35">
      <c r="C733" s="2" t="s">
        <v>74</v>
      </c>
      <c r="D733" s="3">
        <v>43465</v>
      </c>
      <c r="E733" s="2">
        <v>21.758566941200002</v>
      </c>
      <c r="F733">
        <v>33384709893.7337</v>
      </c>
      <c r="G733" s="2">
        <v>5.5372474728469401</v>
      </c>
      <c r="H733" s="2"/>
      <c r="I733" s="2"/>
    </row>
    <row r="734" spans="3:9" x14ac:dyDescent="0.35">
      <c r="C734" s="2" t="s">
        <v>74</v>
      </c>
      <c r="D734" s="3">
        <v>43098</v>
      </c>
      <c r="E734" s="2">
        <v>21.099216427799998</v>
      </c>
      <c r="F734">
        <v>34225415717.2197</v>
      </c>
      <c r="G734" s="2">
        <v>8.5954847590916401</v>
      </c>
      <c r="H734" s="2"/>
      <c r="I734" s="2"/>
    </row>
    <row r="735" spans="3:9" x14ac:dyDescent="0.35">
      <c r="C735" s="2" t="s">
        <v>74</v>
      </c>
      <c r="D735" s="3">
        <v>42734</v>
      </c>
      <c r="E735" s="2">
        <v>19.835316691300001</v>
      </c>
      <c r="F735" s="2">
        <v>30439885048.726898</v>
      </c>
      <c r="G735" s="2">
        <v>31.424650215131599</v>
      </c>
      <c r="H735" s="2"/>
    </row>
    <row r="736" spans="3:9" x14ac:dyDescent="0.35">
      <c r="C736" s="2" t="s">
        <v>75</v>
      </c>
      <c r="D736" s="3">
        <v>46022</v>
      </c>
      <c r="E736">
        <v>766.6</v>
      </c>
      <c r="F736">
        <v>4903193669.5880003</v>
      </c>
      <c r="G736" s="2">
        <v>14.468201650551499</v>
      </c>
      <c r="H736" s="2"/>
      <c r="I736" s="2"/>
    </row>
    <row r="737" spans="3:9" x14ac:dyDescent="0.35">
      <c r="C737" s="2" t="s">
        <v>75</v>
      </c>
      <c r="D737" s="3">
        <v>45657</v>
      </c>
      <c r="E737">
        <v>687.2</v>
      </c>
      <c r="F737">
        <v>4393317772.7200003</v>
      </c>
      <c r="G737" s="2">
        <v>-29.032975956872601</v>
      </c>
      <c r="H737" s="2"/>
      <c r="I737" s="2"/>
    </row>
    <row r="738" spans="3:9" x14ac:dyDescent="0.35">
      <c r="C738" s="2" t="s">
        <v>75</v>
      </c>
      <c r="D738" s="3">
        <v>45289</v>
      </c>
      <c r="E738" s="2">
        <v>994.2</v>
      </c>
      <c r="F738" s="2">
        <v>6350802289.3859901</v>
      </c>
      <c r="G738" s="2">
        <v>-23.666012147950202</v>
      </c>
      <c r="H738" s="2"/>
      <c r="I738" s="2"/>
    </row>
    <row r="739" spans="3:9" x14ac:dyDescent="0.35">
      <c r="C739" s="2" t="s">
        <v>75</v>
      </c>
      <c r="D739" s="3">
        <v>44925</v>
      </c>
      <c r="E739" s="2">
        <v>1321.5</v>
      </c>
      <c r="F739" s="2">
        <v>7781646367.1549997</v>
      </c>
      <c r="G739" s="2">
        <v>-20.993040072947998</v>
      </c>
      <c r="H739" s="2"/>
      <c r="I739" s="2"/>
    </row>
    <row r="740" spans="3:9" x14ac:dyDescent="0.35">
      <c r="C740" s="2" t="s">
        <v>75</v>
      </c>
      <c r="D740" s="3">
        <v>44561</v>
      </c>
      <c r="E740" s="2">
        <v>1683</v>
      </c>
      <c r="F740" s="2">
        <v>9871687309.7699699</v>
      </c>
      <c r="G740" s="2">
        <v>48.478164974994797</v>
      </c>
      <c r="H740" s="2"/>
      <c r="I740" s="2"/>
    </row>
    <row r="741" spans="3:9" x14ac:dyDescent="0.35">
      <c r="C741" s="2" t="s">
        <v>75</v>
      </c>
      <c r="D741" s="3">
        <v>44196</v>
      </c>
      <c r="E741" s="2">
        <v>1133.5</v>
      </c>
      <c r="F741" s="2">
        <v>6631886866.7449999</v>
      </c>
      <c r="G741" s="2">
        <v>28.194978512184498</v>
      </c>
      <c r="H741" s="2"/>
      <c r="I741" s="2"/>
    </row>
    <row r="742" spans="3:9" x14ac:dyDescent="0.35">
      <c r="C742" s="2" t="s">
        <v>75</v>
      </c>
      <c r="D742" s="3">
        <v>43830</v>
      </c>
      <c r="E742" s="2">
        <v>884.2</v>
      </c>
      <c r="F742" s="2">
        <v>5148979066.5319996</v>
      </c>
      <c r="G742" s="2">
        <v>31.1869436209012</v>
      </c>
      <c r="H742" s="2"/>
      <c r="I742" s="2"/>
    </row>
    <row r="743" spans="3:9" x14ac:dyDescent="0.35">
      <c r="C743" s="2" t="s">
        <v>75</v>
      </c>
      <c r="D743" s="3">
        <v>43465</v>
      </c>
      <c r="E743">
        <v>674</v>
      </c>
      <c r="F743">
        <v>3921805626.54</v>
      </c>
      <c r="G743" s="2">
        <v>-27.135135134530799</v>
      </c>
      <c r="H743" s="2"/>
      <c r="I743" s="2"/>
    </row>
    <row r="744" spans="3:9" x14ac:dyDescent="0.35">
      <c r="C744" s="2" t="s">
        <v>75</v>
      </c>
      <c r="D744" s="3">
        <v>43098</v>
      </c>
      <c r="E744">
        <v>925</v>
      </c>
      <c r="F744">
        <v>2809469893.75</v>
      </c>
      <c r="G744" s="2">
        <v>49.792664411043802</v>
      </c>
      <c r="H744" s="2"/>
      <c r="I744" s="2"/>
    </row>
    <row r="745" spans="3:9" x14ac:dyDescent="0.35">
      <c r="C745" s="2" t="s">
        <v>75</v>
      </c>
      <c r="D745" s="3">
        <v>42734</v>
      </c>
      <c r="E745">
        <v>617.52022613420002</v>
      </c>
      <c r="F745">
        <v>1879322542.2749901</v>
      </c>
      <c r="G745" s="2">
        <v>38.619201726138797</v>
      </c>
      <c r="H745" s="2"/>
      <c r="I745" s="2"/>
    </row>
    <row r="746" spans="3:9" x14ac:dyDescent="0.35">
      <c r="C746" s="2" t="s">
        <v>76</v>
      </c>
      <c r="D746" s="3">
        <v>46022</v>
      </c>
      <c r="E746" s="2">
        <v>3159.6753600000002</v>
      </c>
      <c r="F746" s="2">
        <v>9728236509.7600002</v>
      </c>
      <c r="G746" s="2">
        <v>30.964892656053099</v>
      </c>
      <c r="H746" s="2"/>
      <c r="I746" s="2"/>
    </row>
    <row r="747" spans="3:9" x14ac:dyDescent="0.35">
      <c r="C747" s="2" t="s">
        <v>76</v>
      </c>
      <c r="D747" s="3">
        <v>45657</v>
      </c>
      <c r="E747">
        <v>2585.5410276666998</v>
      </c>
      <c r="F747">
        <v>8098695633.43993</v>
      </c>
      <c r="G747" s="2">
        <v>4.2265138467526802</v>
      </c>
      <c r="H747" s="2"/>
      <c r="I747" s="2"/>
    </row>
    <row r="748" spans="3:9" x14ac:dyDescent="0.35">
      <c r="C748" s="2" t="s">
        <v>76</v>
      </c>
      <c r="D748" s="3">
        <v>45289</v>
      </c>
      <c r="E748">
        <v>2591.4107088609999</v>
      </c>
      <c r="F748">
        <v>8221217503.8399801</v>
      </c>
      <c r="G748" s="2">
        <v>31.324892543442001</v>
      </c>
      <c r="H748" s="2"/>
      <c r="I748" s="2"/>
    </row>
    <row r="749" spans="3:9" x14ac:dyDescent="0.35">
      <c r="C749" s="2" t="s">
        <v>76</v>
      </c>
      <c r="D749" s="3">
        <v>44925</v>
      </c>
      <c r="E749">
        <v>2039.0830288615</v>
      </c>
      <c r="F749">
        <v>6471642204.6199999</v>
      </c>
      <c r="G749" s="2">
        <v>-25.3221384046746</v>
      </c>
      <c r="H749" s="2"/>
      <c r="I749" s="2"/>
    </row>
    <row r="750" spans="3:9" x14ac:dyDescent="0.35">
      <c r="C750" s="2" t="s">
        <v>76</v>
      </c>
      <c r="D750" s="3">
        <v>44561</v>
      </c>
      <c r="E750">
        <v>2837.0708879353001</v>
      </c>
      <c r="F750">
        <v>9456942510.3999405</v>
      </c>
      <c r="G750" s="2">
        <v>16.200280781516799</v>
      </c>
      <c r="H750" s="2"/>
      <c r="I750" s="2"/>
    </row>
    <row r="751" spans="3:9" x14ac:dyDescent="0.35">
      <c r="C751" s="2" t="s">
        <v>76</v>
      </c>
      <c r="D751" s="3">
        <v>44196</v>
      </c>
      <c r="E751">
        <v>2540.4432372125998</v>
      </c>
      <c r="F751">
        <v>8621871350.7799397</v>
      </c>
      <c r="G751" s="2">
        <v>32.278000838484999</v>
      </c>
      <c r="H751" s="2"/>
      <c r="I751" s="2"/>
    </row>
    <row r="752" spans="3:9" x14ac:dyDescent="0.35">
      <c r="C752" s="2" t="s">
        <v>76</v>
      </c>
      <c r="D752" s="3">
        <v>43830</v>
      </c>
      <c r="E752">
        <v>1991.3778736709</v>
      </c>
      <c r="F752">
        <v>6781217336.6099997</v>
      </c>
      <c r="G752">
        <v>19.913847150256501</v>
      </c>
      <c r="H752" s="2"/>
      <c r="I752" s="2"/>
    </row>
    <row r="753" spans="3:9" x14ac:dyDescent="0.35">
      <c r="C753" s="2" t="s">
        <v>76</v>
      </c>
      <c r="D753" s="3">
        <v>43465</v>
      </c>
      <c r="E753" s="2">
        <v>1747.5538833348</v>
      </c>
      <c r="F753" s="2">
        <v>5946591026.3899899</v>
      </c>
      <c r="G753" s="2">
        <v>8.37470393431974</v>
      </c>
      <c r="H753" s="2"/>
      <c r="I753" s="2"/>
    </row>
    <row r="754" spans="3:9" x14ac:dyDescent="0.35">
      <c r="C754" s="2" t="s">
        <v>76</v>
      </c>
      <c r="D754" s="3">
        <v>43098</v>
      </c>
      <c r="E754" s="2">
        <v>1677.9010066122</v>
      </c>
      <c r="F754" s="2">
        <v>5750029525.2399998</v>
      </c>
      <c r="G754" s="2">
        <v>17.823861479565799</v>
      </c>
      <c r="H754" s="2"/>
      <c r="I754" s="2"/>
    </row>
    <row r="755" spans="3:9" x14ac:dyDescent="0.35">
      <c r="C755" s="2" t="s">
        <v>76</v>
      </c>
      <c r="D755" s="3">
        <v>42734</v>
      </c>
      <c r="E755" s="2">
        <v>1490.1687608689999</v>
      </c>
      <c r="F755" s="2">
        <v>5195115972.8999996</v>
      </c>
      <c r="G755" s="2">
        <v>17.4435103552077</v>
      </c>
      <c r="H755" s="2"/>
    </row>
    <row r="756" spans="3:9" x14ac:dyDescent="0.35">
      <c r="C756" s="2" t="s">
        <v>77</v>
      </c>
      <c r="D756" s="3">
        <v>46022</v>
      </c>
      <c r="E756" s="2">
        <v>13790</v>
      </c>
      <c r="F756" s="2">
        <v>213870203133.29999</v>
      </c>
      <c r="G756" s="2">
        <v>34.580461096361901</v>
      </c>
      <c r="H756" s="2"/>
      <c r="I756" s="2"/>
    </row>
    <row r="757" spans="3:9" x14ac:dyDescent="0.35">
      <c r="C757" s="2" t="s">
        <v>77</v>
      </c>
      <c r="D757" s="3">
        <v>45657</v>
      </c>
      <c r="E757" s="2">
        <v>10468</v>
      </c>
      <c r="F757" s="2">
        <v>162311180298.51999</v>
      </c>
      <c r="G757" s="2">
        <v>0.90605246282313701</v>
      </c>
      <c r="H757" s="2"/>
      <c r="I757" s="2"/>
    </row>
    <row r="758" spans="3:9" x14ac:dyDescent="0.35">
      <c r="C758" s="2" t="s">
        <v>77</v>
      </c>
      <c r="D758" s="3">
        <v>45289</v>
      </c>
      <c r="E758" s="2">
        <v>10600</v>
      </c>
      <c r="F758" s="2">
        <v>164292178366</v>
      </c>
      <c r="G758" s="2">
        <v>-3.5200903066645499</v>
      </c>
      <c r="H758" s="2"/>
      <c r="I758" s="2"/>
    </row>
    <row r="759" spans="3:9" x14ac:dyDescent="0.35">
      <c r="C759" s="2" t="s">
        <v>77</v>
      </c>
      <c r="D759" s="3">
        <v>44925</v>
      </c>
      <c r="E759" s="2">
        <v>11218</v>
      </c>
      <c r="F759" s="2">
        <v>173826074709.979</v>
      </c>
      <c r="G759" s="2">
        <v>32.414017209292901</v>
      </c>
      <c r="H759" s="2"/>
      <c r="I759" s="2"/>
    </row>
    <row r="760" spans="3:9" x14ac:dyDescent="0.35">
      <c r="C760" s="2" t="s">
        <v>77</v>
      </c>
      <c r="D760" s="3">
        <v>44561</v>
      </c>
      <c r="E760" s="2">
        <v>8678</v>
      </c>
      <c r="F760" s="2">
        <v>134456989708.7</v>
      </c>
      <c r="G760" s="2">
        <v>21.752883246183799</v>
      </c>
      <c r="H760" s="2"/>
      <c r="I760" s="2"/>
    </row>
    <row r="761" spans="3:9" x14ac:dyDescent="0.35">
      <c r="C761" s="2" t="s">
        <v>77</v>
      </c>
      <c r="D761" s="3">
        <v>44196</v>
      </c>
      <c r="E761" s="2">
        <v>7324</v>
      </c>
      <c r="F761" s="2">
        <v>96139857345.759903</v>
      </c>
      <c r="G761" s="2">
        <v>-0.94610558944459</v>
      </c>
      <c r="H761" s="2"/>
      <c r="I761" s="2"/>
    </row>
    <row r="762" spans="3:9" x14ac:dyDescent="0.35">
      <c r="C762" s="2" t="s">
        <v>77</v>
      </c>
      <c r="D762" s="3">
        <v>43830</v>
      </c>
      <c r="E762" s="2">
        <v>7607</v>
      </c>
      <c r="F762" s="2">
        <v>99814335834.319595</v>
      </c>
      <c r="G762" s="2">
        <v>33.941666925024698</v>
      </c>
      <c r="H762" s="2"/>
      <c r="I762" s="2"/>
    </row>
    <row r="763" spans="3:9" x14ac:dyDescent="0.35">
      <c r="C763" s="2" t="s">
        <v>77</v>
      </c>
      <c r="D763" s="3">
        <v>43465</v>
      </c>
      <c r="E763" s="2">
        <v>5873</v>
      </c>
      <c r="F763" s="2">
        <v>74413226076.279999</v>
      </c>
      <c r="G763" s="2">
        <v>19.262911843893701</v>
      </c>
      <c r="H763" s="2"/>
      <c r="I763" s="2"/>
    </row>
    <row r="764" spans="3:9" x14ac:dyDescent="0.35">
      <c r="C764" s="2" t="s">
        <v>77</v>
      </c>
      <c r="D764" s="3">
        <v>43098</v>
      </c>
      <c r="E764">
        <v>5121</v>
      </c>
      <c r="F764">
        <v>64830914048.879997</v>
      </c>
      <c r="G764" s="2">
        <v>21.089764637798901</v>
      </c>
      <c r="H764" s="2"/>
      <c r="I764" s="2"/>
    </row>
    <row r="765" spans="3:9" x14ac:dyDescent="0.35">
      <c r="C765" s="2" t="s">
        <v>77</v>
      </c>
      <c r="D765" s="3">
        <v>42734</v>
      </c>
      <c r="E765">
        <v>4437.5</v>
      </c>
      <c r="F765">
        <v>56136655209.374901</v>
      </c>
      <c r="G765" s="2">
        <v>0.49201227268103098</v>
      </c>
      <c r="H765" s="2"/>
      <c r="I765" s="2"/>
    </row>
    <row r="766" spans="3:9" x14ac:dyDescent="0.35">
      <c r="C766" s="2" t="s">
        <v>78</v>
      </c>
      <c r="D766" s="3">
        <v>46022</v>
      </c>
      <c r="E766" s="2">
        <v>312.7</v>
      </c>
      <c r="F766" s="2">
        <v>5366066870.6370001</v>
      </c>
      <c r="G766" s="2">
        <v>30.995807838822799</v>
      </c>
      <c r="H766" s="2"/>
      <c r="I766" s="2"/>
    </row>
    <row r="767" spans="3:9" x14ac:dyDescent="0.35">
      <c r="C767" s="2" t="s">
        <v>78</v>
      </c>
      <c r="D767" s="3">
        <v>45657</v>
      </c>
      <c r="E767">
        <v>248.7</v>
      </c>
      <c r="F767">
        <v>4509162211.4160004</v>
      </c>
      <c r="G767" s="2">
        <v>6.8654056446405303</v>
      </c>
      <c r="H767" s="2"/>
      <c r="I767" s="2"/>
    </row>
    <row r="768" spans="3:9" x14ac:dyDescent="0.35">
      <c r="C768" s="2" t="s">
        <v>78</v>
      </c>
      <c r="D768" s="3">
        <v>45289</v>
      </c>
      <c r="E768">
        <v>243.3</v>
      </c>
      <c r="F768">
        <v>4565588363.8170004</v>
      </c>
      <c r="G768" s="2">
        <v>8.7875545638787607</v>
      </c>
      <c r="H768" s="2"/>
      <c r="I768" s="2"/>
    </row>
    <row r="769" spans="3:9" x14ac:dyDescent="0.35">
      <c r="C769" s="2" t="s">
        <v>78</v>
      </c>
      <c r="D769" s="3">
        <v>44925</v>
      </c>
      <c r="E769">
        <v>236.1</v>
      </c>
      <c r="F769">
        <v>4577739299.4750004</v>
      </c>
      <c r="G769" s="2">
        <v>-26.481759190469798</v>
      </c>
      <c r="H769" s="2"/>
      <c r="I769" s="2"/>
    </row>
    <row r="770" spans="3:9" x14ac:dyDescent="0.35">
      <c r="C770" s="2" t="s">
        <v>78</v>
      </c>
      <c r="D770" s="3">
        <v>44561</v>
      </c>
      <c r="E770">
        <v>338.3</v>
      </c>
      <c r="F770">
        <v>7025444262.5869999</v>
      </c>
      <c r="G770" s="2">
        <v>29.605944717902101</v>
      </c>
      <c r="H770" s="2"/>
      <c r="I770" s="2"/>
    </row>
    <row r="771" spans="3:9" x14ac:dyDescent="0.35">
      <c r="C771" s="2" t="s">
        <v>78</v>
      </c>
      <c r="D771" s="3">
        <v>44196</v>
      </c>
      <c r="E771">
        <v>270.39999999999998</v>
      </c>
      <c r="F771">
        <v>5705872539.9519997</v>
      </c>
      <c r="G771" s="2">
        <v>24.608294931865501</v>
      </c>
      <c r="H771" s="2"/>
      <c r="I771" s="2"/>
    </row>
    <row r="772" spans="3:9" x14ac:dyDescent="0.35">
      <c r="C772" s="2" t="s">
        <v>78</v>
      </c>
      <c r="D772" s="3">
        <v>43830</v>
      </c>
      <c r="E772">
        <v>217</v>
      </c>
      <c r="F772">
        <v>4578976254.0200005</v>
      </c>
      <c r="G772">
        <v>4.5783132526255903</v>
      </c>
      <c r="H772" s="2"/>
      <c r="I772" s="2"/>
    </row>
    <row r="773" spans="3:9" x14ac:dyDescent="0.35">
      <c r="C773" s="2" t="s">
        <v>78</v>
      </c>
      <c r="D773" s="3">
        <v>43465</v>
      </c>
      <c r="E773">
        <v>207.5</v>
      </c>
      <c r="F773">
        <v>4382168469.4250002</v>
      </c>
      <c r="G773" s="2">
        <v>-38.554930411948902</v>
      </c>
      <c r="H773" s="2"/>
      <c r="I773" s="2"/>
    </row>
    <row r="774" spans="3:9" x14ac:dyDescent="0.35">
      <c r="C774" s="2" t="s">
        <v>78</v>
      </c>
      <c r="D774" s="3">
        <v>43098</v>
      </c>
      <c r="E774" s="2">
        <v>337.7</v>
      </c>
      <c r="F774" s="2">
        <v>7308461626.5100002</v>
      </c>
      <c r="G774" s="2">
        <v>-3.5969169277659399</v>
      </c>
      <c r="H774" s="2"/>
      <c r="I774" s="2"/>
    </row>
    <row r="775" spans="3:9" x14ac:dyDescent="0.35">
      <c r="C775" s="2" t="s">
        <v>78</v>
      </c>
      <c r="D775" s="3">
        <v>42734</v>
      </c>
      <c r="E775" s="2">
        <v>350.3</v>
      </c>
      <c r="F775" s="2">
        <v>7857712816.8450003</v>
      </c>
      <c r="G775" s="2">
        <v>6.3125948409220998</v>
      </c>
      <c r="H775" s="2"/>
      <c r="I775" s="2"/>
    </row>
    <row r="776" spans="3:9" x14ac:dyDescent="0.35">
      <c r="C776" s="2" t="s">
        <v>79</v>
      </c>
      <c r="D776" s="3">
        <v>46022</v>
      </c>
      <c r="E776" s="2">
        <v>2789</v>
      </c>
      <c r="F776" s="2">
        <v>8397289125.6899996</v>
      </c>
      <c r="G776" s="2">
        <v>16.2942320450992</v>
      </c>
      <c r="H776" s="2"/>
      <c r="I776" s="2"/>
    </row>
    <row r="777" spans="3:9" x14ac:dyDescent="0.35">
      <c r="C777" s="2" t="s">
        <v>79</v>
      </c>
      <c r="D777" s="3">
        <v>45657</v>
      </c>
      <c r="E777" s="2">
        <v>2508</v>
      </c>
      <c r="F777" s="2">
        <v>7529191058.3999901</v>
      </c>
      <c r="G777" s="2">
        <v>1.95395484746985</v>
      </c>
      <c r="H777" s="2"/>
    </row>
    <row r="778" spans="3:9" x14ac:dyDescent="0.35">
      <c r="C778" s="2" t="s">
        <v>79</v>
      </c>
      <c r="D778" s="3">
        <v>45289</v>
      </c>
      <c r="E778" s="2">
        <v>2579</v>
      </c>
      <c r="F778" s="2">
        <v>7713525219.8800001</v>
      </c>
      <c r="G778" s="2">
        <v>1.37689234279601</v>
      </c>
      <c r="H778" s="2"/>
      <c r="I778" s="2"/>
    </row>
    <row r="779" spans="3:9" x14ac:dyDescent="0.35">
      <c r="C779" s="2" t="s">
        <v>79</v>
      </c>
      <c r="D779" s="3">
        <v>44925</v>
      </c>
      <c r="E779">
        <v>2651</v>
      </c>
      <c r="F779">
        <v>6668602402.9899998</v>
      </c>
      <c r="G779" s="2">
        <v>-6.6529673119310697</v>
      </c>
      <c r="H779" s="2"/>
      <c r="I779" s="2"/>
    </row>
    <row r="780" spans="3:9" x14ac:dyDescent="0.35">
      <c r="C780" s="2" t="s">
        <v>79</v>
      </c>
      <c r="D780" s="3">
        <v>44561</v>
      </c>
      <c r="E780">
        <v>2947</v>
      </c>
      <c r="F780">
        <v>7375926622.3299904</v>
      </c>
      <c r="G780" s="2">
        <v>33.854273482191502</v>
      </c>
      <c r="H780" s="2"/>
      <c r="I780" s="2"/>
    </row>
    <row r="781" spans="3:9" x14ac:dyDescent="0.35">
      <c r="C781" s="2" t="s">
        <v>79</v>
      </c>
      <c r="D781" s="3">
        <v>44196</v>
      </c>
      <c r="E781">
        <v>2289</v>
      </c>
      <c r="F781">
        <v>5467830003.0900002</v>
      </c>
      <c r="G781" s="2">
        <v>-5.0802368018341504</v>
      </c>
      <c r="H781" s="2"/>
      <c r="I781" s="2"/>
    </row>
    <row r="782" spans="3:9" x14ac:dyDescent="0.35">
      <c r="C782" s="2" t="s">
        <v>79</v>
      </c>
      <c r="D782" s="3">
        <v>43830</v>
      </c>
      <c r="E782">
        <v>2515</v>
      </c>
      <c r="F782">
        <v>6074496476.25</v>
      </c>
      <c r="G782">
        <v>44.838355826759802</v>
      </c>
      <c r="H782" s="2"/>
      <c r="I782" s="2"/>
    </row>
    <row r="783" spans="3:9" x14ac:dyDescent="0.35">
      <c r="C783" s="2" t="s">
        <v>79</v>
      </c>
      <c r="D783" s="3">
        <v>43465</v>
      </c>
      <c r="E783" s="2">
        <v>1815.5</v>
      </c>
      <c r="F783" s="2">
        <v>4305681502.0349998</v>
      </c>
      <c r="G783" s="2">
        <v>-11.990627834530301</v>
      </c>
      <c r="H783" s="2"/>
      <c r="I783" s="2"/>
    </row>
    <row r="784" spans="3:9" x14ac:dyDescent="0.35">
      <c r="C784" s="2" t="s">
        <v>79</v>
      </c>
      <c r="D784" s="3">
        <v>43098</v>
      </c>
      <c r="E784" s="2">
        <v>2162</v>
      </c>
      <c r="F784" s="2">
        <v>5108070163.3000002</v>
      </c>
      <c r="G784" s="2">
        <v>0.91852499302724799</v>
      </c>
      <c r="H784" s="2"/>
      <c r="I784" s="2"/>
    </row>
    <row r="785" spans="3:9" x14ac:dyDescent="0.35">
      <c r="C785" s="2" t="s">
        <v>79</v>
      </c>
      <c r="D785" s="3">
        <v>42734</v>
      </c>
      <c r="E785" s="2">
        <v>2222</v>
      </c>
      <c r="F785" s="2">
        <v>5237384098.1000004</v>
      </c>
      <c r="G785" s="2">
        <v>6.0034916497993196</v>
      </c>
      <c r="H785" s="2"/>
      <c r="I785" s="2"/>
    </row>
    <row r="786" spans="3:9" x14ac:dyDescent="0.35">
      <c r="C786" s="2" t="s">
        <v>80</v>
      </c>
      <c r="D786" s="3">
        <v>46022</v>
      </c>
      <c r="E786" s="2">
        <v>313</v>
      </c>
      <c r="F786" s="2">
        <v>5940345882.9200001</v>
      </c>
      <c r="G786" s="2">
        <v>14.642368895308699</v>
      </c>
      <c r="H786" s="2"/>
      <c r="I786" s="2"/>
    </row>
    <row r="787" spans="3:9" x14ac:dyDescent="0.35">
      <c r="C787" s="2" t="s">
        <v>80</v>
      </c>
      <c r="D787" s="3">
        <v>45657</v>
      </c>
      <c r="E787" s="2">
        <v>277</v>
      </c>
      <c r="F787" s="2">
        <v>5346460631.8400002</v>
      </c>
      <c r="G787" s="2">
        <v>16.941591940888699</v>
      </c>
      <c r="H787" s="2"/>
      <c r="I787" s="2"/>
    </row>
    <row r="788" spans="3:9" x14ac:dyDescent="0.35">
      <c r="C788" s="2" t="s">
        <v>80</v>
      </c>
      <c r="D788" s="3">
        <v>45289</v>
      </c>
      <c r="E788" s="2">
        <v>240.5</v>
      </c>
      <c r="F788" s="2">
        <v>4904209179.4799995</v>
      </c>
      <c r="G788" s="2">
        <v>8.1051718581779006</v>
      </c>
      <c r="H788" s="2"/>
    </row>
    <row r="789" spans="3:9" x14ac:dyDescent="0.35">
      <c r="C789" s="2" t="s">
        <v>80</v>
      </c>
      <c r="D789" s="3">
        <v>44925</v>
      </c>
      <c r="E789" s="2">
        <v>226</v>
      </c>
      <c r="F789" s="2">
        <v>4686443178.2399998</v>
      </c>
      <c r="G789" s="2">
        <v>-0.88145007921733798</v>
      </c>
      <c r="H789" s="2"/>
      <c r="I789" s="2"/>
    </row>
    <row r="790" spans="3:9" x14ac:dyDescent="0.35">
      <c r="C790" s="2" t="s">
        <v>80</v>
      </c>
      <c r="D790" s="3">
        <v>44561</v>
      </c>
      <c r="E790" s="2">
        <v>231.5</v>
      </c>
      <c r="F790" s="2">
        <v>4878011876.3999996</v>
      </c>
      <c r="G790" s="2">
        <v>19.388489945330601</v>
      </c>
      <c r="H790" s="2"/>
      <c r="I790" s="2"/>
    </row>
    <row r="791" spans="3:9" x14ac:dyDescent="0.35">
      <c r="C791" s="2" t="s">
        <v>80</v>
      </c>
      <c r="D791" s="3">
        <v>44196</v>
      </c>
      <c r="E791" s="2">
        <v>196.75</v>
      </c>
      <c r="F791" s="2">
        <v>4223409025.3200002</v>
      </c>
      <c r="G791" s="2">
        <v>3.29660665356004</v>
      </c>
      <c r="H791" s="2"/>
      <c r="I791" s="2"/>
    </row>
    <row r="792" spans="3:9" x14ac:dyDescent="0.35">
      <c r="C792" s="2" t="s">
        <v>80</v>
      </c>
      <c r="D792" s="3">
        <v>43830</v>
      </c>
      <c r="E792" s="2">
        <v>191.25</v>
      </c>
      <c r="F792" s="2">
        <v>4151052516.5999999</v>
      </c>
      <c r="G792" s="2">
        <v>20.853080568550901</v>
      </c>
      <c r="H792" s="2"/>
      <c r="I792" s="2"/>
    </row>
    <row r="793" spans="3:9" x14ac:dyDescent="0.35">
      <c r="C793" s="2" t="s">
        <v>80</v>
      </c>
      <c r="D793" s="3">
        <v>43465</v>
      </c>
      <c r="E793">
        <v>158.25</v>
      </c>
      <c r="F793">
        <v>3432636906.96</v>
      </c>
      <c r="G793" s="2">
        <v>-2.1638330756114201</v>
      </c>
      <c r="H793" s="2"/>
      <c r="I793" s="2"/>
    </row>
    <row r="794" spans="3:9" x14ac:dyDescent="0.35">
      <c r="C794" s="2" t="s">
        <v>80</v>
      </c>
      <c r="D794" s="3">
        <v>43098</v>
      </c>
      <c r="E794">
        <v>161.75</v>
      </c>
      <c r="F794">
        <v>3507909206.6399999</v>
      </c>
      <c r="G794" s="2">
        <v>18.9338235296063</v>
      </c>
      <c r="H794" s="2"/>
      <c r="I794" s="2"/>
    </row>
    <row r="795" spans="3:9" x14ac:dyDescent="0.35">
      <c r="C795" s="2" t="s">
        <v>80</v>
      </c>
      <c r="D795" s="3">
        <v>42734</v>
      </c>
      <c r="E795">
        <v>136</v>
      </c>
      <c r="F795">
        <v>2973356369.2800002</v>
      </c>
      <c r="G795" s="2">
        <v>21.1041852182722</v>
      </c>
      <c r="H795" s="2"/>
      <c r="I795" s="2"/>
    </row>
    <row r="796" spans="3:9" x14ac:dyDescent="0.35">
      <c r="C796" s="2" t="s">
        <v>81</v>
      </c>
      <c r="D796" s="3">
        <v>46022</v>
      </c>
      <c r="E796">
        <v>1243</v>
      </c>
      <c r="F796">
        <v>6209590650.4499998</v>
      </c>
      <c r="G796" s="2">
        <v>150.01690747643599</v>
      </c>
      <c r="H796" s="2"/>
      <c r="I796" s="2"/>
    </row>
    <row r="797" spans="3:9" x14ac:dyDescent="0.35">
      <c r="C797" s="2" t="s">
        <v>81</v>
      </c>
      <c r="D797" s="3">
        <v>45657</v>
      </c>
      <c r="E797">
        <v>500.5</v>
      </c>
      <c r="F797">
        <v>2530510967.9849901</v>
      </c>
      <c r="G797" s="2">
        <v>27.981496755358101</v>
      </c>
      <c r="H797" s="2"/>
      <c r="I797" s="2"/>
    </row>
    <row r="798" spans="3:9" x14ac:dyDescent="0.35">
      <c r="C798" s="2" t="s">
        <v>81</v>
      </c>
      <c r="D798" s="3">
        <v>45289</v>
      </c>
      <c r="E798">
        <v>395</v>
      </c>
      <c r="F798">
        <v>1997106558.1500001</v>
      </c>
      <c r="G798" s="2">
        <v>40.559186636130804</v>
      </c>
      <c r="H798" s="2"/>
      <c r="I798" s="2"/>
    </row>
    <row r="799" spans="3:9" x14ac:dyDescent="0.35">
      <c r="C799" s="2" t="s">
        <v>81</v>
      </c>
      <c r="D799" s="3">
        <v>44925</v>
      </c>
      <c r="E799" s="2">
        <v>282.2</v>
      </c>
      <c r="F799" s="2">
        <v>1426793596.73399</v>
      </c>
      <c r="G799" s="2">
        <v>-11.424984306848</v>
      </c>
      <c r="H799" s="2"/>
      <c r="I799" s="2"/>
    </row>
    <row r="800" spans="3:9" x14ac:dyDescent="0.35">
      <c r="C800" s="2" t="s">
        <v>81</v>
      </c>
      <c r="D800" s="3">
        <v>44561</v>
      </c>
      <c r="E800">
        <v>318.60000000000002</v>
      </c>
      <c r="F800">
        <v>1610830758.0420001</v>
      </c>
      <c r="G800" s="2">
        <v>13.8263665593994</v>
      </c>
      <c r="H800" s="2"/>
      <c r="I800" s="2"/>
    </row>
    <row r="801" spans="3:9" x14ac:dyDescent="0.35">
      <c r="C801" s="2" t="s">
        <v>81</v>
      </c>
      <c r="D801" s="3">
        <v>44196</v>
      </c>
      <c r="E801">
        <v>279.89999999999998</v>
      </c>
      <c r="F801">
        <v>1415164875.003</v>
      </c>
      <c r="G801" s="2">
        <v>-55.529075309869903</v>
      </c>
      <c r="H801" s="2"/>
      <c r="I801" s="2"/>
    </row>
    <row r="802" spans="3:9" x14ac:dyDescent="0.35">
      <c r="C802" s="2" t="s">
        <v>81</v>
      </c>
      <c r="D802" s="3">
        <v>43830</v>
      </c>
      <c r="E802">
        <v>629.4</v>
      </c>
      <c r="F802">
        <v>3182224981.5180001</v>
      </c>
      <c r="G802" s="2">
        <v>36.9508972416372</v>
      </c>
      <c r="H802" s="2"/>
      <c r="I802" s="2"/>
    </row>
    <row r="803" spans="3:9" x14ac:dyDescent="0.35">
      <c r="C803" s="2" t="s">
        <v>81</v>
      </c>
      <c r="D803" s="3">
        <v>43465</v>
      </c>
      <c r="E803" s="2">
        <v>489.3</v>
      </c>
      <c r="F803" s="2">
        <v>2473884149.1209998</v>
      </c>
      <c r="G803" s="2">
        <v>-27.723400615497798</v>
      </c>
      <c r="H803" s="2"/>
      <c r="I803" s="2"/>
    </row>
    <row r="804" spans="3:9" x14ac:dyDescent="0.35">
      <c r="C804" s="2" t="s">
        <v>81</v>
      </c>
      <c r="D804" s="3">
        <v>43098</v>
      </c>
      <c r="E804" s="2">
        <v>705.5</v>
      </c>
      <c r="F804" s="2">
        <v>3566983991.83499</v>
      </c>
      <c r="G804" s="2">
        <v>-23.365872071569001</v>
      </c>
      <c r="H804" s="2"/>
      <c r="I804" s="2"/>
    </row>
    <row r="805" spans="3:9" x14ac:dyDescent="0.35">
      <c r="C805" s="2" t="s">
        <v>81</v>
      </c>
      <c r="D805" s="3">
        <v>42734</v>
      </c>
      <c r="E805" s="2">
        <v>953</v>
      </c>
      <c r="F805" s="2">
        <v>4818335569.4099998</v>
      </c>
      <c r="G805" s="2">
        <v>-3.4884690976346802</v>
      </c>
      <c r="H805" s="2"/>
      <c r="I805" s="2"/>
    </row>
    <row r="806" spans="3:9" x14ac:dyDescent="0.35">
      <c r="C806" s="2" t="s">
        <v>82</v>
      </c>
      <c r="D806" s="3">
        <v>46022</v>
      </c>
      <c r="E806" s="2">
        <v>4214</v>
      </c>
      <c r="F806" s="2">
        <v>91842703518.860001</v>
      </c>
      <c r="G806" s="2">
        <v>56.334200585547897</v>
      </c>
      <c r="H806" s="2"/>
      <c r="I806" s="2"/>
    </row>
    <row r="807" spans="3:9" x14ac:dyDescent="0.35">
      <c r="C807" s="2" t="s">
        <v>82</v>
      </c>
      <c r="D807" s="3">
        <v>45657</v>
      </c>
      <c r="E807" s="2">
        <v>2880</v>
      </c>
      <c r="F807" s="2">
        <v>63635302022.400002</v>
      </c>
      <c r="G807" s="2">
        <v>37.246660016137099</v>
      </c>
      <c r="H807" s="2"/>
      <c r="I807" s="2"/>
    </row>
    <row r="808" spans="3:9" x14ac:dyDescent="0.35">
      <c r="C808" s="2" t="s">
        <v>82</v>
      </c>
      <c r="D808" s="3">
        <v>45289</v>
      </c>
      <c r="E808" s="2">
        <v>2295.5</v>
      </c>
      <c r="F808" s="2">
        <v>51336746879.57</v>
      </c>
      <c r="G808" s="2">
        <v>-23.4583562618785</v>
      </c>
      <c r="H808" s="2"/>
      <c r="I808" s="2"/>
    </row>
    <row r="809" spans="3:9" x14ac:dyDescent="0.35">
      <c r="C809" s="2" t="s">
        <v>82</v>
      </c>
      <c r="D809" s="3">
        <v>44925</v>
      </c>
      <c r="E809" s="2">
        <v>3281.5</v>
      </c>
      <c r="F809" s="2">
        <v>73369983086.819901</v>
      </c>
      <c r="G809" s="2">
        <v>28.151429291017902</v>
      </c>
      <c r="H809" s="2"/>
      <c r="I809" s="2"/>
    </row>
    <row r="810" spans="3:9" x14ac:dyDescent="0.35">
      <c r="C810" s="2" t="s">
        <v>82</v>
      </c>
      <c r="D810" s="3">
        <v>44561</v>
      </c>
      <c r="E810" s="2">
        <v>2733.5</v>
      </c>
      <c r="F810" s="2">
        <v>62725284753.285004</v>
      </c>
      <c r="G810" s="2">
        <v>9.2027028438773009</v>
      </c>
      <c r="H810" s="2"/>
    </row>
    <row r="811" spans="3:9" x14ac:dyDescent="0.35">
      <c r="C811" s="2" t="s">
        <v>82</v>
      </c>
      <c r="D811" s="3">
        <v>44196</v>
      </c>
      <c r="E811" s="2">
        <v>2708</v>
      </c>
      <c r="F811" s="2">
        <v>62128098923.519997</v>
      </c>
      <c r="G811" s="2">
        <v>-9.7096058156352694</v>
      </c>
      <c r="H811" s="2"/>
      <c r="I811" s="2"/>
    </row>
    <row r="812" spans="3:9" x14ac:dyDescent="0.35">
      <c r="C812" s="2" t="s">
        <v>82</v>
      </c>
      <c r="D812" s="3">
        <v>43830</v>
      </c>
      <c r="E812" s="2">
        <v>3231.5</v>
      </c>
      <c r="F812" s="2">
        <v>74126575407.619995</v>
      </c>
      <c r="G812" s="2">
        <v>38.292623269902997</v>
      </c>
      <c r="H812" s="2"/>
      <c r="I812" s="2"/>
    </row>
    <row r="813" spans="3:9" x14ac:dyDescent="0.35">
      <c r="C813" s="2" t="s">
        <v>82</v>
      </c>
      <c r="D813" s="3">
        <v>43465</v>
      </c>
      <c r="E813" s="2">
        <v>2500</v>
      </c>
      <c r="F813" s="2">
        <v>57344257350</v>
      </c>
      <c r="G813" s="2">
        <v>-47.169422934895003</v>
      </c>
      <c r="H813" s="2"/>
      <c r="I813" s="2"/>
    </row>
    <row r="814" spans="3:9" x14ac:dyDescent="0.35">
      <c r="C814" s="2" t="s">
        <v>82</v>
      </c>
      <c r="D814" s="3">
        <v>43098</v>
      </c>
      <c r="E814">
        <v>5018</v>
      </c>
      <c r="F814">
        <v>115094495108.319</v>
      </c>
      <c r="G814" s="2">
        <v>13.357278136519801</v>
      </c>
      <c r="H814" s="2"/>
      <c r="I814" s="2"/>
    </row>
    <row r="815" spans="3:9" x14ac:dyDescent="0.35">
      <c r="C815" s="2" t="s">
        <v>82</v>
      </c>
      <c r="D815" s="3">
        <v>42734</v>
      </c>
      <c r="E815">
        <v>4621.5</v>
      </c>
      <c r="F815">
        <v>86161875032.024902</v>
      </c>
      <c r="G815" s="2">
        <v>27.0594149878055</v>
      </c>
      <c r="H815" s="2"/>
      <c r="I815" s="2"/>
    </row>
    <row r="816" spans="3:9" x14ac:dyDescent="0.35">
      <c r="C816" s="2" t="s">
        <v>83</v>
      </c>
      <c r="D816" s="3">
        <v>46022</v>
      </c>
      <c r="E816">
        <v>407</v>
      </c>
      <c r="F816">
        <v>6555594901.46</v>
      </c>
      <c r="G816" s="2">
        <v>33.214079054457599</v>
      </c>
      <c r="H816" s="2"/>
      <c r="I816" s="2"/>
    </row>
    <row r="817" spans="3:9" x14ac:dyDescent="0.35">
      <c r="C817" s="2" t="s">
        <v>83</v>
      </c>
      <c r="D817" s="3">
        <v>45657</v>
      </c>
      <c r="E817">
        <v>323.60000000000002</v>
      </c>
      <c r="F817">
        <v>5196005918.1960001</v>
      </c>
      <c r="G817" s="2">
        <v>-20.254306494469301</v>
      </c>
      <c r="H817" s="2"/>
      <c r="I817" s="2"/>
    </row>
    <row r="818" spans="3:9" x14ac:dyDescent="0.35">
      <c r="C818" s="2" t="s">
        <v>83</v>
      </c>
      <c r="D818" s="3">
        <v>45289</v>
      </c>
      <c r="E818">
        <v>429.9</v>
      </c>
      <c r="F818">
        <v>6930295485.9750004</v>
      </c>
      <c r="G818" s="2">
        <v>3.5445137761968399</v>
      </c>
      <c r="H818" s="2"/>
      <c r="I818" s="2"/>
    </row>
    <row r="819" spans="3:9" x14ac:dyDescent="0.35">
      <c r="C819" s="2" t="s">
        <v>83</v>
      </c>
      <c r="D819" s="3">
        <v>44925</v>
      </c>
      <c r="E819">
        <v>436</v>
      </c>
      <c r="F819">
        <v>7028631849</v>
      </c>
      <c r="G819" s="2">
        <v>-25.091365426964501</v>
      </c>
      <c r="H819" s="2"/>
      <c r="I819" s="2"/>
    </row>
    <row r="820" spans="3:9" x14ac:dyDescent="0.35">
      <c r="C820" s="2" t="s">
        <v>83</v>
      </c>
      <c r="D820" s="3">
        <v>44561</v>
      </c>
      <c r="E820">
        <v>605.20000000000005</v>
      </c>
      <c r="F820">
        <v>9348851519.9999409</v>
      </c>
      <c r="G820" s="2">
        <v>10.2426382170081</v>
      </c>
      <c r="H820" s="2"/>
      <c r="I820" s="2"/>
    </row>
    <row r="821" spans="3:9" x14ac:dyDescent="0.35">
      <c r="C821" s="2" t="s">
        <v>83</v>
      </c>
      <c r="D821" s="3">
        <v>44196</v>
      </c>
      <c r="E821" s="2">
        <v>567.29</v>
      </c>
      <c r="F821" s="2">
        <v>8833520447.9999809</v>
      </c>
      <c r="G821" s="2">
        <v>4.31993897185425</v>
      </c>
      <c r="H821" s="2"/>
      <c r="I821" s="2"/>
    </row>
    <row r="822" spans="3:9" x14ac:dyDescent="0.35">
      <c r="C822" s="2" t="s">
        <v>83</v>
      </c>
      <c r="D822" s="3">
        <v>43830</v>
      </c>
      <c r="E822">
        <v>566.78</v>
      </c>
      <c r="F822">
        <v>8959527935.9999809</v>
      </c>
      <c r="G822">
        <v>42.399505778886201</v>
      </c>
      <c r="H822" s="2"/>
      <c r="I822" s="2"/>
    </row>
    <row r="823" spans="3:9" x14ac:dyDescent="0.35">
      <c r="C823" s="2" t="s">
        <v>83</v>
      </c>
      <c r="D823" s="3">
        <v>43465</v>
      </c>
      <c r="E823">
        <v>415.31</v>
      </c>
      <c r="F823">
        <v>6688020639.9999905</v>
      </c>
      <c r="G823" s="2">
        <v>-28.0172104853857</v>
      </c>
      <c r="H823" s="2"/>
      <c r="I823" s="2"/>
    </row>
    <row r="824" spans="3:9" x14ac:dyDescent="0.35">
      <c r="C824" s="2" t="s">
        <v>83</v>
      </c>
      <c r="D824" s="3">
        <v>43098</v>
      </c>
      <c r="E824" s="2">
        <v>597.72</v>
      </c>
      <c r="F824" s="2">
        <v>9364108031.9999294</v>
      </c>
      <c r="G824" s="2">
        <v>20.945729413435199</v>
      </c>
      <c r="H824" s="2"/>
      <c r="I824" s="2"/>
    </row>
    <row r="825" spans="3:9" x14ac:dyDescent="0.35">
      <c r="C825" s="2" t="s">
        <v>83</v>
      </c>
      <c r="D825" s="3">
        <v>42734</v>
      </c>
      <c r="E825" s="2">
        <v>509.66</v>
      </c>
      <c r="F825" s="2">
        <v>8045178482.7399902</v>
      </c>
      <c r="G825" s="2">
        <v>4.0174409424976503</v>
      </c>
      <c r="H825" s="2"/>
      <c r="I825" s="2"/>
    </row>
    <row r="826" spans="3:9" x14ac:dyDescent="0.35">
      <c r="C826" s="2" t="s">
        <v>84</v>
      </c>
      <c r="D826" s="3">
        <v>46022</v>
      </c>
      <c r="E826" s="2">
        <v>403.8</v>
      </c>
      <c r="F826" s="2">
        <v>4037383437.7800002</v>
      </c>
      <c r="G826" s="2">
        <v>18.597544403220699</v>
      </c>
      <c r="H826" s="2"/>
      <c r="I826" s="2"/>
    </row>
    <row r="827" spans="3:9" x14ac:dyDescent="0.35">
      <c r="C827" s="2" t="s">
        <v>84</v>
      </c>
      <c r="D827" s="3">
        <v>45657</v>
      </c>
      <c r="E827" s="2">
        <v>360.4</v>
      </c>
      <c r="F827" s="2">
        <v>3600927435.0279999</v>
      </c>
      <c r="G827" s="2">
        <v>-9.8098098104748193</v>
      </c>
      <c r="H827" s="2"/>
      <c r="I827" s="2"/>
    </row>
    <row r="828" spans="3:9" x14ac:dyDescent="0.35">
      <c r="C828" s="2" t="s">
        <v>84</v>
      </c>
      <c r="D828" s="3">
        <v>45289</v>
      </c>
      <c r="E828" s="2">
        <v>399.6</v>
      </c>
      <c r="F828" s="2">
        <v>3705466708.1160002</v>
      </c>
      <c r="G828" s="2">
        <v>1.1389521644266101</v>
      </c>
      <c r="H828" s="2"/>
      <c r="I828" s="2"/>
    </row>
    <row r="829" spans="3:9" x14ac:dyDescent="0.35">
      <c r="C829" s="2" t="s">
        <v>84</v>
      </c>
      <c r="D829" s="3">
        <v>44925</v>
      </c>
      <c r="E829" s="2">
        <v>395.1</v>
      </c>
      <c r="F829" s="2">
        <v>3662661006.1619902</v>
      </c>
      <c r="G829" s="2">
        <v>-25.593220339402201</v>
      </c>
      <c r="H829" s="2"/>
      <c r="I829" s="2"/>
    </row>
    <row r="830" spans="3:9" x14ac:dyDescent="0.35">
      <c r="C830" s="2" t="s">
        <v>84</v>
      </c>
      <c r="D830" s="3">
        <v>44561</v>
      </c>
      <c r="E830" s="2">
        <v>531</v>
      </c>
      <c r="F830" s="2">
        <v>4921474059.6300001</v>
      </c>
      <c r="G830" s="2">
        <v>8.5889570544945801</v>
      </c>
      <c r="H830" s="2"/>
      <c r="I830" s="2"/>
    </row>
    <row r="831" spans="3:9" x14ac:dyDescent="0.35">
      <c r="C831" s="2" t="s">
        <v>84</v>
      </c>
      <c r="D831" s="3">
        <v>44196</v>
      </c>
      <c r="E831" s="2">
        <v>489</v>
      </c>
      <c r="F831" s="2">
        <v>4531576980.5100002</v>
      </c>
      <c r="G831" s="2">
        <v>-23.450219160730001</v>
      </c>
      <c r="H831" s="2"/>
      <c r="I831" s="2"/>
    </row>
    <row r="832" spans="3:9" x14ac:dyDescent="0.35">
      <c r="C832" s="2" t="s">
        <v>84</v>
      </c>
      <c r="D832" s="3">
        <v>43830</v>
      </c>
      <c r="E832" s="2">
        <v>638.79999999999995</v>
      </c>
      <c r="F832" s="2">
        <v>5919465918.0880003</v>
      </c>
      <c r="G832" s="2">
        <v>19.804951237525898</v>
      </c>
      <c r="H832" s="2"/>
    </row>
    <row r="833" spans="3:9" x14ac:dyDescent="0.35">
      <c r="C833" s="2" t="s">
        <v>84</v>
      </c>
      <c r="D833" s="3">
        <v>43465</v>
      </c>
      <c r="E833" s="2">
        <v>533.20000000000005</v>
      </c>
      <c r="F833" s="2">
        <v>5118610603.3559999</v>
      </c>
      <c r="G833" s="2">
        <v>-22.892263195741901</v>
      </c>
      <c r="H833" s="2"/>
      <c r="I833" s="2"/>
    </row>
    <row r="834" spans="3:9" x14ac:dyDescent="0.35">
      <c r="C834" s="2" t="s">
        <v>84</v>
      </c>
      <c r="D834" s="3">
        <v>43098</v>
      </c>
      <c r="E834" s="2">
        <v>691.5</v>
      </c>
      <c r="F834" s="2">
        <v>6920388575.9849997</v>
      </c>
      <c r="G834" s="2">
        <v>9.8490865765477107</v>
      </c>
      <c r="H834" s="2"/>
      <c r="I834" s="2"/>
    </row>
    <row r="835" spans="3:9" x14ac:dyDescent="0.35">
      <c r="C835" s="2" t="s">
        <v>84</v>
      </c>
      <c r="D835" s="3">
        <v>42734</v>
      </c>
      <c r="E835">
        <v>629.5</v>
      </c>
      <c r="F835">
        <v>6481933021.4200001</v>
      </c>
      <c r="G835" s="2">
        <v>-19.159344619624701</v>
      </c>
      <c r="H835" s="2"/>
      <c r="I835" s="2"/>
    </row>
    <row r="836" spans="3:9" x14ac:dyDescent="0.35">
      <c r="C836" s="2" t="s">
        <v>85</v>
      </c>
      <c r="D836" s="3">
        <v>46022</v>
      </c>
      <c r="E836">
        <v>169.55</v>
      </c>
      <c r="F836">
        <v>7817251887.8754997</v>
      </c>
      <c r="G836" s="2">
        <v>30.7432294678276</v>
      </c>
      <c r="H836" s="2"/>
      <c r="I836" s="2"/>
    </row>
    <row r="837" spans="3:9" x14ac:dyDescent="0.35">
      <c r="C837" s="2" t="s">
        <v>85</v>
      </c>
      <c r="D837" s="3">
        <v>45657</v>
      </c>
      <c r="E837">
        <v>133.6</v>
      </c>
      <c r="F837">
        <v>6802014719.6879902</v>
      </c>
      <c r="G837" s="2">
        <v>-1.93797226373653</v>
      </c>
      <c r="H837" s="2"/>
      <c r="I837" s="2"/>
    </row>
    <row r="838" spans="3:9" x14ac:dyDescent="0.35">
      <c r="C838" s="2" t="s">
        <v>85</v>
      </c>
      <c r="D838" s="3">
        <v>45289</v>
      </c>
      <c r="E838">
        <v>140.65</v>
      </c>
      <c r="F838">
        <v>7617619759.8325005</v>
      </c>
      <c r="G838" s="2">
        <v>49.519922949391102</v>
      </c>
      <c r="H838" s="2"/>
      <c r="I838" s="2"/>
    </row>
    <row r="839" spans="3:9" x14ac:dyDescent="0.35">
      <c r="C839" s="2" t="s">
        <v>85</v>
      </c>
      <c r="D839" s="3">
        <v>44925</v>
      </c>
      <c r="E839">
        <v>96.52</v>
      </c>
      <c r="F839">
        <v>5656722975.2791901</v>
      </c>
      <c r="G839" s="2">
        <v>36.965435499934998</v>
      </c>
      <c r="H839" s="2"/>
      <c r="I839" s="2"/>
    </row>
    <row r="840" spans="3:9" x14ac:dyDescent="0.35">
      <c r="C840" s="2" t="s">
        <v>85</v>
      </c>
      <c r="D840" s="3">
        <v>44561</v>
      </c>
      <c r="E840">
        <v>71.5</v>
      </c>
      <c r="F840">
        <v>4205228478.1649899</v>
      </c>
      <c r="G840" s="2">
        <v>53.4334763946976</v>
      </c>
      <c r="H840" s="2"/>
      <c r="I840" s="2"/>
    </row>
    <row r="841" spans="3:9" x14ac:dyDescent="0.35">
      <c r="C841" s="2" t="s">
        <v>85</v>
      </c>
      <c r="D841" s="3">
        <v>44196</v>
      </c>
      <c r="E841">
        <v>46.6</v>
      </c>
      <c r="F841">
        <v>2722613694.6279898</v>
      </c>
      <c r="G841" s="2">
        <v>-47.816349384657997</v>
      </c>
      <c r="H841" s="2"/>
      <c r="I841" s="2"/>
    </row>
    <row r="842" spans="3:9" x14ac:dyDescent="0.35">
      <c r="C842" s="2" t="s">
        <v>85</v>
      </c>
      <c r="D842" s="3">
        <v>43830</v>
      </c>
      <c r="E842">
        <v>89.3</v>
      </c>
      <c r="F842">
        <v>5196684225.7480001</v>
      </c>
      <c r="G842" s="2">
        <v>-33.802816901639403</v>
      </c>
      <c r="H842" s="2"/>
      <c r="I842" s="2"/>
    </row>
    <row r="843" spans="3:9" x14ac:dyDescent="0.35">
      <c r="C843" s="2" t="s">
        <v>85</v>
      </c>
      <c r="D843" s="3">
        <v>43465</v>
      </c>
      <c r="E843" s="2">
        <v>134.9</v>
      </c>
      <c r="F843" s="2">
        <v>7684761634.8439903</v>
      </c>
      <c r="G843" s="2">
        <v>0.656538674401275</v>
      </c>
      <c r="H843" s="2"/>
      <c r="I843" s="2"/>
    </row>
    <row r="844" spans="3:9" x14ac:dyDescent="0.35">
      <c r="C844" s="2" t="s">
        <v>85</v>
      </c>
      <c r="D844" s="3">
        <v>43098</v>
      </c>
      <c r="E844">
        <v>137.30000000000001</v>
      </c>
      <c r="F844">
        <v>7689189002.4790001</v>
      </c>
      <c r="G844" s="2">
        <v>-37.555468569691897</v>
      </c>
      <c r="H844" s="2"/>
      <c r="I844" s="2"/>
    </row>
    <row r="845" spans="3:9" x14ac:dyDescent="0.35">
      <c r="C845" s="2" t="s">
        <v>85</v>
      </c>
      <c r="D845" s="3">
        <v>42734</v>
      </c>
      <c r="E845" s="2">
        <v>234.1</v>
      </c>
      <c r="F845" s="2">
        <v>12846454672.228901</v>
      </c>
      <c r="G845" s="2">
        <v>11.808863362815</v>
      </c>
      <c r="H845" s="2"/>
      <c r="I845" s="2"/>
    </row>
    <row r="846" spans="3:9" x14ac:dyDescent="0.35">
      <c r="C846" s="2" t="s">
        <v>86</v>
      </c>
      <c r="D846" s="3">
        <v>46022</v>
      </c>
      <c r="E846" s="2">
        <v>189.7</v>
      </c>
      <c r="F846" s="2">
        <v>4445487626.2510004</v>
      </c>
      <c r="G846" s="2">
        <v>12.5062311451074</v>
      </c>
      <c r="H846" s="2"/>
      <c r="I846" s="2"/>
    </row>
    <row r="847" spans="3:9" x14ac:dyDescent="0.35">
      <c r="C847" s="2" t="s">
        <v>86</v>
      </c>
      <c r="D847" s="3">
        <v>45657</v>
      </c>
      <c r="E847" s="2">
        <v>180.1</v>
      </c>
      <c r="F847" s="2">
        <v>3687198921.8530002</v>
      </c>
      <c r="G847" s="2">
        <v>-0.36285141550456101</v>
      </c>
      <c r="H847" s="2"/>
      <c r="I847" s="2"/>
    </row>
    <row r="848" spans="3:9" x14ac:dyDescent="0.35">
      <c r="C848" s="2" t="s">
        <v>86</v>
      </c>
      <c r="D848" s="3">
        <v>45289</v>
      </c>
      <c r="E848" s="2">
        <v>191.5</v>
      </c>
      <c r="F848" s="2">
        <v>2086576765.1300001</v>
      </c>
      <c r="G848" s="2">
        <v>17.252103520921199</v>
      </c>
      <c r="H848" s="2"/>
      <c r="I848" s="2"/>
    </row>
    <row r="849" spans="3:9" x14ac:dyDescent="0.35">
      <c r="C849" s="2" t="s">
        <v>86</v>
      </c>
      <c r="D849" s="3">
        <v>44925</v>
      </c>
      <c r="E849" s="2">
        <v>172.3</v>
      </c>
      <c r="F849" s="2">
        <v>1692227109.7279999</v>
      </c>
      <c r="G849" s="2">
        <v>-36.501276825577698</v>
      </c>
      <c r="H849" s="2"/>
      <c r="I849" s="2"/>
    </row>
    <row r="850" spans="3:9" x14ac:dyDescent="0.35">
      <c r="C850" s="2" t="s">
        <v>86</v>
      </c>
      <c r="D850" s="3">
        <v>44561</v>
      </c>
      <c r="E850">
        <v>283.39999999999998</v>
      </c>
      <c r="F850">
        <v>2770777056.3460002</v>
      </c>
      <c r="G850" s="2">
        <v>28.297372206694799</v>
      </c>
      <c r="H850" s="2"/>
      <c r="I850" s="2"/>
    </row>
    <row r="851" spans="3:9" x14ac:dyDescent="0.35">
      <c r="C851" s="2" t="s">
        <v>86</v>
      </c>
      <c r="D851" s="3">
        <v>44196</v>
      </c>
      <c r="E851">
        <v>229</v>
      </c>
      <c r="F851">
        <v>2080272997.24</v>
      </c>
      <c r="G851" s="2">
        <v>0.71398696823721197</v>
      </c>
      <c r="H851" s="2"/>
      <c r="I851" s="2"/>
    </row>
    <row r="852" spans="3:9" x14ac:dyDescent="0.35">
      <c r="C852" s="2" t="s">
        <v>86</v>
      </c>
      <c r="D852" s="3">
        <v>43830</v>
      </c>
      <c r="E852">
        <v>236.6</v>
      </c>
      <c r="F852">
        <v>1990236588.3399899</v>
      </c>
      <c r="G852">
        <v>41.534415757172198</v>
      </c>
      <c r="H852" s="2"/>
      <c r="I852" s="2"/>
    </row>
    <row r="853" spans="3:9" x14ac:dyDescent="0.35">
      <c r="C853" s="2" t="s">
        <v>86</v>
      </c>
      <c r="D853" s="3">
        <v>43465</v>
      </c>
      <c r="E853">
        <v>174</v>
      </c>
      <c r="F853">
        <v>1215702378.71999</v>
      </c>
      <c r="G853" s="2">
        <v>-2.2708520149365898</v>
      </c>
      <c r="H853" s="2"/>
      <c r="I853" s="2"/>
    </row>
    <row r="854" spans="3:9" x14ac:dyDescent="0.35">
      <c r="C854" s="2" t="s">
        <v>86</v>
      </c>
      <c r="D854" s="3">
        <v>43098</v>
      </c>
      <c r="E854" s="2">
        <v>186</v>
      </c>
      <c r="F854" s="2">
        <v>1294957329.48</v>
      </c>
      <c r="G854" s="2">
        <v>25.263877470261601</v>
      </c>
      <c r="H854" s="2"/>
      <c r="I854" s="2"/>
    </row>
    <row r="855" spans="3:9" x14ac:dyDescent="0.35">
      <c r="C855" s="2" t="s">
        <v>86</v>
      </c>
      <c r="D855" s="3">
        <v>42734</v>
      </c>
      <c r="E855">
        <v>155.5</v>
      </c>
      <c r="F855">
        <v>976664662.79499805</v>
      </c>
      <c r="G855" s="2">
        <v>-0.67777161394004803</v>
      </c>
      <c r="H855" s="2"/>
      <c r="I855" s="2"/>
    </row>
    <row r="856" spans="3:9" x14ac:dyDescent="0.35">
      <c r="C856" s="2" t="s">
        <v>87</v>
      </c>
      <c r="D856" s="3">
        <v>46022</v>
      </c>
      <c r="E856">
        <v>325</v>
      </c>
      <c r="F856">
        <v>7380933215.5</v>
      </c>
      <c r="G856" s="2">
        <v>32.966716788388801</v>
      </c>
      <c r="H856" s="2"/>
      <c r="I856" s="2"/>
    </row>
    <row r="857" spans="3:9" x14ac:dyDescent="0.35">
      <c r="C857" s="2" t="s">
        <v>87</v>
      </c>
      <c r="D857" s="3">
        <v>45657</v>
      </c>
      <c r="E857">
        <v>264.76901279999998</v>
      </c>
      <c r="F857">
        <v>6399603054.1439896</v>
      </c>
      <c r="G857" s="2">
        <v>-4.9528064789294097</v>
      </c>
      <c r="H857" s="2"/>
      <c r="I857" s="2"/>
    </row>
    <row r="858" spans="3:9" x14ac:dyDescent="0.35">
      <c r="C858" s="2" t="s">
        <v>87</v>
      </c>
      <c r="D858" s="3">
        <v>45289</v>
      </c>
      <c r="E858">
        <v>292.83297979999998</v>
      </c>
      <c r="F858">
        <v>7166851589.86199</v>
      </c>
      <c r="G858" s="2">
        <v>45.873788383962001</v>
      </c>
      <c r="H858" s="2"/>
      <c r="I858" s="2"/>
    </row>
    <row r="859" spans="3:9" x14ac:dyDescent="0.35">
      <c r="C859" s="2" t="s">
        <v>87</v>
      </c>
      <c r="D859" s="3">
        <v>44925</v>
      </c>
      <c r="E859">
        <v>210.67329710000001</v>
      </c>
      <c r="F859">
        <v>5105305604.217</v>
      </c>
      <c r="G859" s="2">
        <v>-15.8191301144163</v>
      </c>
      <c r="H859" s="2"/>
      <c r="I859" s="2"/>
    </row>
    <row r="860" spans="3:9" x14ac:dyDescent="0.35">
      <c r="C860" s="2" t="s">
        <v>87</v>
      </c>
      <c r="D860" s="3">
        <v>44561</v>
      </c>
      <c r="E860" s="2">
        <v>266.89800339999999</v>
      </c>
      <c r="F860" s="2">
        <v>6433998490.7519999</v>
      </c>
      <c r="G860" s="2">
        <v>27.234056566390599</v>
      </c>
      <c r="H860" s="2"/>
      <c r="I860" s="2"/>
    </row>
    <row r="861" spans="3:9" x14ac:dyDescent="0.35">
      <c r="C861" s="2" t="s">
        <v>87</v>
      </c>
      <c r="D861" s="3">
        <v>44196</v>
      </c>
      <c r="E861" s="2">
        <v>218.22153650000001</v>
      </c>
      <c r="F861" s="2">
        <v>5015643261.4750004</v>
      </c>
      <c r="G861" s="2">
        <v>3.2384089642886398</v>
      </c>
      <c r="H861" s="2"/>
      <c r="I861" s="2"/>
    </row>
    <row r="862" spans="3:9" x14ac:dyDescent="0.35">
      <c r="C862" s="2" t="s">
        <v>87</v>
      </c>
      <c r="D862" s="3">
        <v>43830</v>
      </c>
      <c r="E862" s="2">
        <v>214.71987708169999</v>
      </c>
      <c r="F862" s="2">
        <v>5087172911.4139996</v>
      </c>
      <c r="G862" s="2">
        <v>-8.4189462247231202</v>
      </c>
      <c r="H862" s="2"/>
      <c r="I862" s="2"/>
    </row>
    <row r="863" spans="3:9" x14ac:dyDescent="0.35">
      <c r="C863" s="2" t="s">
        <v>87</v>
      </c>
      <c r="D863" s="3">
        <v>43465</v>
      </c>
      <c r="E863" s="2">
        <v>247.50225065960001</v>
      </c>
      <c r="F863" s="2">
        <v>5836650410.8500004</v>
      </c>
      <c r="G863" s="2">
        <v>13.3515473818592</v>
      </c>
      <c r="H863" s="2"/>
      <c r="I863" s="2"/>
    </row>
    <row r="864" spans="3:9" x14ac:dyDescent="0.35">
      <c r="C864" s="2" t="s">
        <v>87</v>
      </c>
      <c r="D864" s="3">
        <v>43098</v>
      </c>
      <c r="E864" s="2">
        <v>225.46054078949999</v>
      </c>
      <c r="F864" s="2">
        <v>5287163422.802</v>
      </c>
      <c r="G864" s="2">
        <v>0.58472295652223205</v>
      </c>
      <c r="H864" s="2"/>
      <c r="I864" s="2"/>
    </row>
    <row r="865" spans="3:9" x14ac:dyDescent="0.35">
      <c r="C865" s="2" t="s">
        <v>87</v>
      </c>
      <c r="D865" s="3">
        <v>42734</v>
      </c>
      <c r="E865" s="2">
        <v>232.8389097715</v>
      </c>
      <c r="F865" s="2">
        <v>5451762139.1820002</v>
      </c>
      <c r="G865" s="2">
        <v>0.92573072340242901</v>
      </c>
      <c r="H865" s="2"/>
    </row>
    <row r="866" spans="3:9" x14ac:dyDescent="0.35">
      <c r="C866" s="2" t="s">
        <v>88</v>
      </c>
      <c r="D866" s="3">
        <v>46022</v>
      </c>
      <c r="E866" s="2">
        <v>464</v>
      </c>
      <c r="F866" s="2">
        <v>5189569195.6800003</v>
      </c>
      <c r="G866" s="2">
        <v>33.1420373028078</v>
      </c>
      <c r="H866" s="2"/>
      <c r="I866" s="2"/>
    </row>
    <row r="867" spans="3:9" x14ac:dyDescent="0.35">
      <c r="C867" s="2" t="s">
        <v>88</v>
      </c>
      <c r="D867" s="3">
        <v>45657</v>
      </c>
      <c r="E867" s="2">
        <v>348.5</v>
      </c>
      <c r="F867" s="2">
        <v>4119101747.6849999</v>
      </c>
      <c r="G867" s="2">
        <v>34.296724469846801</v>
      </c>
      <c r="H867" s="2"/>
      <c r="I867" s="2"/>
    </row>
    <row r="868" spans="3:9" x14ac:dyDescent="0.35">
      <c r="C868" s="2" t="s">
        <v>88</v>
      </c>
      <c r="D868" s="3">
        <v>45289</v>
      </c>
      <c r="E868" s="2">
        <v>259.5</v>
      </c>
      <c r="F868" s="2">
        <v>3177761641.1999998</v>
      </c>
      <c r="G868" s="2">
        <v>50.522041763228899</v>
      </c>
      <c r="H868" s="2"/>
      <c r="I868" s="2"/>
    </row>
    <row r="869" spans="3:9" x14ac:dyDescent="0.35">
      <c r="C869" s="2" t="s">
        <v>88</v>
      </c>
      <c r="D869" s="3">
        <v>44925</v>
      </c>
      <c r="E869" s="2">
        <v>172.4</v>
      </c>
      <c r="F869" s="2">
        <v>2219873964.8400002</v>
      </c>
      <c r="G869" s="2">
        <v>-36.803519061227803</v>
      </c>
      <c r="H869" s="2"/>
      <c r="I869" s="2"/>
    </row>
    <row r="870" spans="3:9" x14ac:dyDescent="0.35">
      <c r="C870" s="2" t="s">
        <v>88</v>
      </c>
      <c r="D870" s="3">
        <v>44561</v>
      </c>
      <c r="E870" s="2">
        <v>272.8</v>
      </c>
      <c r="F870" s="2">
        <v>3665580973.1199899</v>
      </c>
      <c r="G870" s="2">
        <v>18.351409977935599</v>
      </c>
      <c r="H870" s="2"/>
      <c r="I870" s="2"/>
    </row>
    <row r="871" spans="3:9" x14ac:dyDescent="0.35">
      <c r="C871" s="2" t="s">
        <v>88</v>
      </c>
      <c r="D871" s="3">
        <v>44196</v>
      </c>
      <c r="E871">
        <v>230.5</v>
      </c>
      <c r="F871">
        <v>3165110749.99999</v>
      </c>
      <c r="G871" s="2">
        <v>45.334174022158003</v>
      </c>
      <c r="H871" s="2"/>
      <c r="I871" s="2"/>
    </row>
    <row r="872" spans="3:9" x14ac:dyDescent="0.35">
      <c r="C872" s="2" t="s">
        <v>88</v>
      </c>
      <c r="D872" s="3">
        <v>43830</v>
      </c>
      <c r="E872">
        <v>158.6</v>
      </c>
      <c r="F872">
        <v>2122464500</v>
      </c>
      <c r="G872" s="2">
        <v>43.659420290846498</v>
      </c>
      <c r="H872" s="2"/>
      <c r="I872" s="2"/>
    </row>
    <row r="873" spans="3:9" x14ac:dyDescent="0.35">
      <c r="C873" s="2" t="s">
        <v>88</v>
      </c>
      <c r="D873" s="3">
        <v>43465</v>
      </c>
      <c r="E873">
        <v>110.4</v>
      </c>
      <c r="F873">
        <v>1477428000</v>
      </c>
      <c r="G873" s="2">
        <v>-2.9023746702325002</v>
      </c>
      <c r="H873" s="2"/>
      <c r="I873" s="2"/>
    </row>
    <row r="874" spans="3:9" x14ac:dyDescent="0.35">
      <c r="C874" s="2" t="s">
        <v>88</v>
      </c>
      <c r="D874" s="3">
        <v>43098</v>
      </c>
      <c r="E874">
        <v>113.7</v>
      </c>
      <c r="F874">
        <v>1520055300</v>
      </c>
      <c r="G874" s="2">
        <v>34.317779090133698</v>
      </c>
      <c r="H874" s="2"/>
      <c r="I874" s="2"/>
    </row>
    <row r="875" spans="3:9" x14ac:dyDescent="0.35">
      <c r="C875" s="2" t="s">
        <v>88</v>
      </c>
      <c r="D875" s="3">
        <v>42734</v>
      </c>
      <c r="E875">
        <v>84.65</v>
      </c>
      <c r="F875">
        <v>1120225585.9349999</v>
      </c>
      <c r="G875" s="2">
        <v>35.007974481166897</v>
      </c>
      <c r="H875" s="2"/>
      <c r="I875" s="2"/>
    </row>
    <row r="876" spans="3:9" x14ac:dyDescent="0.35">
      <c r="C876" s="2" t="s">
        <v>89</v>
      </c>
      <c r="D876" s="3">
        <v>46022</v>
      </c>
      <c r="E876" s="2">
        <v>441.8</v>
      </c>
      <c r="F876" s="2">
        <v>28234238508.582001</v>
      </c>
      <c r="G876" s="2">
        <v>24.399425920758599</v>
      </c>
      <c r="H876" s="2"/>
    </row>
    <row r="877" spans="3:9" x14ac:dyDescent="0.35">
      <c r="C877" s="2" t="s">
        <v>89</v>
      </c>
      <c r="D877" s="3">
        <v>45657</v>
      </c>
      <c r="E877">
        <v>368.3</v>
      </c>
      <c r="F877">
        <v>24836783062.047001</v>
      </c>
      <c r="G877" s="2">
        <v>31.731287945067301</v>
      </c>
      <c r="H877" s="2"/>
      <c r="I877" s="2"/>
    </row>
    <row r="878" spans="3:9" x14ac:dyDescent="0.35">
      <c r="C878" s="2" t="s">
        <v>89</v>
      </c>
      <c r="D878" s="3">
        <v>45289</v>
      </c>
      <c r="E878">
        <v>290.5</v>
      </c>
      <c r="F878">
        <v>20522275554.34</v>
      </c>
      <c r="G878" s="2">
        <v>34.743314825877199</v>
      </c>
      <c r="H878" s="2"/>
      <c r="I878" s="2"/>
    </row>
    <row r="879" spans="3:9" x14ac:dyDescent="0.35">
      <c r="C879" s="2" t="s">
        <v>89</v>
      </c>
      <c r="D879" s="3">
        <v>44925</v>
      </c>
      <c r="E879">
        <v>224.2</v>
      </c>
      <c r="F879">
        <v>16480029032.937901</v>
      </c>
      <c r="G879" s="2">
        <v>-18.801824875988402</v>
      </c>
      <c r="H879" s="2"/>
      <c r="I879" s="2"/>
    </row>
    <row r="880" spans="3:9" x14ac:dyDescent="0.35">
      <c r="C880" s="2" t="s">
        <v>89</v>
      </c>
      <c r="D880" s="3">
        <v>44561</v>
      </c>
      <c r="E880">
        <v>289.89999999999998</v>
      </c>
      <c r="F880">
        <v>22226625474.1959</v>
      </c>
      <c r="G880" s="2">
        <v>30.309634403581601</v>
      </c>
      <c r="H880" s="2"/>
      <c r="I880" s="2"/>
    </row>
    <row r="881" spans="3:9" x14ac:dyDescent="0.35">
      <c r="C881" s="2" t="s">
        <v>89</v>
      </c>
      <c r="D881" s="3">
        <v>44196</v>
      </c>
      <c r="E881" s="2">
        <v>231.06220137919999</v>
      </c>
      <c r="F881" s="2">
        <v>22662151042.153999</v>
      </c>
      <c r="G881" s="2">
        <v>-5.3419314464725902</v>
      </c>
      <c r="H881" s="2"/>
      <c r="I881" s="2"/>
    </row>
    <row r="882" spans="3:9" x14ac:dyDescent="0.35">
      <c r="C882" s="2" t="s">
        <v>89</v>
      </c>
      <c r="D882" s="3">
        <v>43830</v>
      </c>
      <c r="E882" s="2">
        <v>254.8274580465</v>
      </c>
      <c r="F882" s="2">
        <v>24993003223.671902</v>
      </c>
      <c r="G882" s="2">
        <v>38.131571306664</v>
      </c>
      <c r="H882" s="2"/>
      <c r="I882" s="2"/>
    </row>
    <row r="883" spans="3:9" x14ac:dyDescent="0.35">
      <c r="C883" s="2" t="s">
        <v>89</v>
      </c>
      <c r="D883" s="3">
        <v>43465</v>
      </c>
      <c r="E883" s="2">
        <v>189.82249127989999</v>
      </c>
      <c r="F883" s="2">
        <v>18617436962.460899</v>
      </c>
      <c r="G883" s="2">
        <v>-7.7172963172104696</v>
      </c>
      <c r="H883" s="2"/>
      <c r="I883" s="2"/>
    </row>
    <row r="884" spans="3:9" x14ac:dyDescent="0.35">
      <c r="C884" s="2" t="s">
        <v>89</v>
      </c>
      <c r="D884" s="3">
        <v>43098</v>
      </c>
      <c r="E884" s="2">
        <v>208.94453603540001</v>
      </c>
      <c r="F884" s="2">
        <v>17140361827.072399</v>
      </c>
      <c r="G884" s="2">
        <v>1.7053055170039899</v>
      </c>
      <c r="H884" s="2"/>
      <c r="I884" s="2"/>
    </row>
    <row r="885" spans="3:9" x14ac:dyDescent="0.35">
      <c r="C885" s="2" t="s">
        <v>89</v>
      </c>
      <c r="D885" s="3">
        <v>42734</v>
      </c>
      <c r="E885" s="2">
        <v>206.54803956469999</v>
      </c>
      <c r="F885" s="2">
        <v>16908949859.7285</v>
      </c>
      <c r="G885" s="2">
        <v>38.361204013548402</v>
      </c>
      <c r="H885" s="2"/>
      <c r="I885" s="2"/>
    </row>
    <row r="886" spans="3:9" x14ac:dyDescent="0.35">
      <c r="C886" s="2" t="s">
        <v>90</v>
      </c>
      <c r="D886" s="3">
        <v>46022</v>
      </c>
      <c r="E886">
        <v>9300</v>
      </c>
      <c r="F886">
        <v>4041438969</v>
      </c>
      <c r="G886" s="2">
        <v>107.100496647531</v>
      </c>
      <c r="H886" s="2"/>
      <c r="I886" s="2"/>
    </row>
    <row r="887" spans="3:9" x14ac:dyDescent="0.35">
      <c r="C887" s="2" t="s">
        <v>90</v>
      </c>
      <c r="D887" s="3">
        <v>45657</v>
      </c>
      <c r="E887" s="2">
        <v>4710</v>
      </c>
      <c r="F887" s="2">
        <v>2090681723.7</v>
      </c>
      <c r="G887" s="2">
        <v>25.553605383192298</v>
      </c>
      <c r="H887" s="2"/>
    </row>
    <row r="888" spans="3:9" x14ac:dyDescent="0.35">
      <c r="C888" s="2" t="s">
        <v>90</v>
      </c>
      <c r="D888" s="3">
        <v>45289</v>
      </c>
      <c r="E888">
        <v>3975</v>
      </c>
      <c r="F888">
        <v>1816936804.5</v>
      </c>
      <c r="G888" s="2">
        <v>66.075674192184806</v>
      </c>
      <c r="H888" s="2"/>
      <c r="I888" s="2"/>
    </row>
    <row r="889" spans="3:9" x14ac:dyDescent="0.35">
      <c r="C889" s="2" t="s">
        <v>90</v>
      </c>
      <c r="D889" s="3">
        <v>44925</v>
      </c>
      <c r="E889">
        <v>2605</v>
      </c>
      <c r="F889">
        <v>1237348481.0999899</v>
      </c>
      <c r="G889" s="2">
        <v>68.831362284962196</v>
      </c>
      <c r="H889" s="2"/>
      <c r="I889" s="2"/>
    </row>
    <row r="890" spans="3:9" x14ac:dyDescent="0.35">
      <c r="C890" s="2" t="s">
        <v>90</v>
      </c>
      <c r="D890" s="3">
        <v>44561</v>
      </c>
      <c r="E890">
        <v>1668</v>
      </c>
      <c r="F890">
        <v>820146059.03999496</v>
      </c>
      <c r="G890" s="2">
        <v>39.765467478677998</v>
      </c>
      <c r="H890" s="2"/>
      <c r="I890" s="2"/>
    </row>
    <row r="891" spans="3:9" x14ac:dyDescent="0.35">
      <c r="C891" s="2" t="s">
        <v>90</v>
      </c>
      <c r="D891" s="3">
        <v>44196</v>
      </c>
      <c r="E891">
        <v>1220</v>
      </c>
      <c r="F891">
        <v>599867021.60000002</v>
      </c>
      <c r="G891" s="2">
        <v>-24.923076923534602</v>
      </c>
      <c r="H891" s="2"/>
      <c r="I891" s="2"/>
    </row>
    <row r="892" spans="3:9" x14ac:dyDescent="0.35">
      <c r="C892" s="2" t="s">
        <v>90</v>
      </c>
      <c r="D892" s="3">
        <v>43830</v>
      </c>
      <c r="E892">
        <v>1625</v>
      </c>
      <c r="F892">
        <v>799003205</v>
      </c>
      <c r="G892">
        <v>23.0791462413851</v>
      </c>
      <c r="H892" s="2"/>
      <c r="I892" s="2"/>
    </row>
    <row r="893" spans="3:9" x14ac:dyDescent="0.35">
      <c r="C893" s="2" t="s">
        <v>90</v>
      </c>
      <c r="D893" s="3">
        <v>43465</v>
      </c>
      <c r="E893">
        <v>1377</v>
      </c>
      <c r="F893">
        <v>677063023.55999994</v>
      </c>
      <c r="G893" s="2">
        <v>-37.611826739660501</v>
      </c>
      <c r="H893" s="2"/>
      <c r="I893" s="2"/>
    </row>
    <row r="894" spans="3:9" x14ac:dyDescent="0.35">
      <c r="C894" s="2" t="s">
        <v>90</v>
      </c>
      <c r="D894" s="3">
        <v>43098</v>
      </c>
      <c r="E894">
        <v>2300.1091510000001</v>
      </c>
      <c r="F894">
        <v>1400914205.8399999</v>
      </c>
      <c r="G894" s="2">
        <v>22.0786897527008</v>
      </c>
      <c r="H894" s="2"/>
      <c r="I894" s="2"/>
    </row>
    <row r="895" spans="3:9" x14ac:dyDescent="0.35">
      <c r="C895" s="2" t="s">
        <v>90</v>
      </c>
      <c r="D895" s="3">
        <v>42734</v>
      </c>
      <c r="E895">
        <v>1929.5827119999999</v>
      </c>
      <c r="F895">
        <v>1178689548.8</v>
      </c>
      <c r="G895" s="2">
        <v>61.656003838431197</v>
      </c>
      <c r="H895" s="2"/>
      <c r="I895" s="2"/>
    </row>
    <row r="896" spans="3:9" x14ac:dyDescent="0.35">
      <c r="C896" s="2" t="s">
        <v>91</v>
      </c>
      <c r="D896" s="3">
        <v>46022</v>
      </c>
      <c r="E896" s="2">
        <v>1315</v>
      </c>
      <c r="F896" s="2">
        <v>4471129317.1000004</v>
      </c>
      <c r="G896" s="2">
        <v>38.625297197684901</v>
      </c>
      <c r="H896" s="2"/>
      <c r="I896" s="2"/>
    </row>
    <row r="897" spans="3:9" x14ac:dyDescent="0.35">
      <c r="C897" s="2" t="s">
        <v>91</v>
      </c>
      <c r="D897" s="3">
        <v>45657</v>
      </c>
      <c r="E897" s="2">
        <v>990.5</v>
      </c>
      <c r="F897" s="2">
        <v>3513169574.4949999</v>
      </c>
      <c r="G897" s="2">
        <v>36.583267111389802</v>
      </c>
      <c r="H897" s="2"/>
      <c r="I897" s="2"/>
    </row>
    <row r="898" spans="3:9" x14ac:dyDescent="0.35">
      <c r="C898" s="2" t="s">
        <v>91</v>
      </c>
      <c r="D898" s="3">
        <v>45289</v>
      </c>
      <c r="E898" s="2">
        <v>765.5</v>
      </c>
      <c r="F898" s="2">
        <v>2947594601.1700001</v>
      </c>
      <c r="G898" s="2">
        <v>4.4707262185826204</v>
      </c>
      <c r="H898" s="2"/>
    </row>
    <row r="899" spans="3:9" x14ac:dyDescent="0.35">
      <c r="C899" s="2" t="s">
        <v>91</v>
      </c>
      <c r="D899" s="3">
        <v>44925</v>
      </c>
      <c r="E899" s="2">
        <v>782</v>
      </c>
      <c r="F899" s="2">
        <v>3254474048.6399999</v>
      </c>
      <c r="G899" s="2">
        <v>1.7638852159777401</v>
      </c>
      <c r="H899" s="2"/>
      <c r="I899" s="2"/>
    </row>
    <row r="900" spans="3:9" x14ac:dyDescent="0.35">
      <c r="C900" s="2" t="s">
        <v>91</v>
      </c>
      <c r="D900" s="3">
        <v>44561</v>
      </c>
      <c r="E900" s="2">
        <v>813</v>
      </c>
      <c r="F900" s="2">
        <v>3508700319.1499901</v>
      </c>
      <c r="G900" s="2">
        <v>-0.57275042515377805</v>
      </c>
      <c r="H900" s="2"/>
      <c r="I900" s="2"/>
    </row>
    <row r="901" spans="3:9" x14ac:dyDescent="0.35">
      <c r="C901" s="2" t="s">
        <v>91</v>
      </c>
      <c r="D901" s="3">
        <v>44196</v>
      </c>
      <c r="E901">
        <v>862</v>
      </c>
      <c r="F901">
        <v>3191981302.0999999</v>
      </c>
      <c r="G901" s="2">
        <v>31.403524879462601</v>
      </c>
      <c r="H901" s="2"/>
      <c r="I901" s="2"/>
    </row>
    <row r="902" spans="3:9" x14ac:dyDescent="0.35">
      <c r="C902" s="2" t="s">
        <v>91</v>
      </c>
      <c r="D902" s="3">
        <v>43830</v>
      </c>
      <c r="E902">
        <v>695</v>
      </c>
      <c r="F902">
        <v>2567604212.24999</v>
      </c>
      <c r="G902" s="2">
        <v>30.568084786651202</v>
      </c>
      <c r="H902" s="2"/>
      <c r="I902" s="2"/>
    </row>
    <row r="903" spans="3:9" x14ac:dyDescent="0.35">
      <c r="C903" s="2" t="s">
        <v>91</v>
      </c>
      <c r="D903" s="3">
        <v>43465</v>
      </c>
      <c r="E903">
        <v>570</v>
      </c>
      <c r="F903">
        <v>2102413393.49999</v>
      </c>
      <c r="G903" s="2">
        <v>-15.338971646283101</v>
      </c>
      <c r="H903" s="2"/>
      <c r="I903" s="2"/>
    </row>
    <row r="904" spans="3:9" x14ac:dyDescent="0.35">
      <c r="C904" s="2" t="s">
        <v>91</v>
      </c>
      <c r="D904" s="3">
        <v>43098</v>
      </c>
      <c r="E904">
        <v>717.5</v>
      </c>
      <c r="F904">
        <v>2639606839.62499</v>
      </c>
      <c r="G904" s="2">
        <v>53.113463403372599</v>
      </c>
      <c r="H904" s="2"/>
      <c r="I904" s="2"/>
    </row>
    <row r="905" spans="3:9" x14ac:dyDescent="0.35">
      <c r="C905" s="2" t="s">
        <v>91</v>
      </c>
      <c r="D905" s="3">
        <v>42734</v>
      </c>
      <c r="E905">
        <v>494.1</v>
      </c>
      <c r="F905">
        <v>1813256001.6029999</v>
      </c>
      <c r="G905" s="2">
        <v>-36.0525102789477</v>
      </c>
      <c r="H905" s="2"/>
      <c r="I905" s="2"/>
    </row>
    <row r="906" spans="3:9" x14ac:dyDescent="0.35">
      <c r="C906" s="2" t="s">
        <v>92</v>
      </c>
      <c r="D906" s="3">
        <v>46022</v>
      </c>
      <c r="E906">
        <v>243.2</v>
      </c>
      <c r="F906">
        <v>4754200134.5279999</v>
      </c>
      <c r="G906" s="2">
        <v>12.1672465651443</v>
      </c>
      <c r="H906" s="2"/>
      <c r="I906" s="2"/>
    </row>
    <row r="907" spans="3:9" x14ac:dyDescent="0.35">
      <c r="C907" s="2" t="s">
        <v>92</v>
      </c>
      <c r="D907" s="3">
        <v>45657</v>
      </c>
      <c r="E907">
        <v>221.2</v>
      </c>
      <c r="F907">
        <v>4534134504.5079899</v>
      </c>
      <c r="G907" s="2">
        <v>-7.7093508531698101</v>
      </c>
      <c r="H907" s="2"/>
      <c r="I907" s="2"/>
    </row>
    <row r="908" spans="3:9" x14ac:dyDescent="0.35">
      <c r="C908" s="2" t="s">
        <v>92</v>
      </c>
      <c r="D908" s="3">
        <v>45289</v>
      </c>
      <c r="E908">
        <v>244.2</v>
      </c>
      <c r="F908">
        <v>5005586103.0779896</v>
      </c>
      <c r="G908" s="2">
        <v>7.3930472989481002</v>
      </c>
      <c r="H908" s="2"/>
      <c r="I908" s="2"/>
    </row>
    <row r="909" spans="3:9" x14ac:dyDescent="0.35">
      <c r="C909" s="2" t="s">
        <v>92</v>
      </c>
      <c r="D909" s="3">
        <v>44925</v>
      </c>
      <c r="E909" s="2">
        <v>232.6</v>
      </c>
      <c r="F909" s="2">
        <v>4754046383.6479998</v>
      </c>
      <c r="G909" s="2">
        <v>22.958591209942998</v>
      </c>
      <c r="H909" s="2"/>
      <c r="I909" s="2"/>
    </row>
    <row r="910" spans="3:9" x14ac:dyDescent="0.35">
      <c r="C910" s="2" t="s">
        <v>92</v>
      </c>
      <c r="D910" s="3">
        <v>44561</v>
      </c>
      <c r="E910">
        <v>193.15</v>
      </c>
      <c r="F910">
        <v>3891147623.9524999</v>
      </c>
      <c r="G910" s="2">
        <v>-1.0866259703058101</v>
      </c>
      <c r="H910" s="2"/>
      <c r="I910" s="2"/>
    </row>
    <row r="911" spans="3:9" x14ac:dyDescent="0.35">
      <c r="C911" s="2" t="s">
        <v>92</v>
      </c>
      <c r="D911" s="3">
        <v>44196</v>
      </c>
      <c r="E911" s="2">
        <v>199.2</v>
      </c>
      <c r="F911" s="2">
        <v>3992659498.8959999</v>
      </c>
      <c r="G911" s="2">
        <v>2.8151078507018301</v>
      </c>
      <c r="H911" s="2"/>
      <c r="I911" s="2"/>
    </row>
    <row r="912" spans="3:9" x14ac:dyDescent="0.35">
      <c r="C912" s="2" t="s">
        <v>92</v>
      </c>
      <c r="D912" s="3">
        <v>43830</v>
      </c>
      <c r="E912" s="2">
        <v>198.45</v>
      </c>
      <c r="F912" s="2">
        <v>3936283237.3095002</v>
      </c>
      <c r="G912" s="2">
        <v>47.228560011307401</v>
      </c>
      <c r="H912" s="2"/>
      <c r="I912" s="2"/>
    </row>
    <row r="913" spans="3:9" x14ac:dyDescent="0.35">
      <c r="C913" s="2" t="s">
        <v>92</v>
      </c>
      <c r="D913" s="3">
        <v>43465</v>
      </c>
      <c r="E913" s="2">
        <v>138.94999999999999</v>
      </c>
      <c r="F913" s="2">
        <v>2731973378.4980001</v>
      </c>
      <c r="G913" s="2">
        <v>-30.915527895292101</v>
      </c>
      <c r="H913" s="2"/>
      <c r="I913" s="2"/>
    </row>
    <row r="914" spans="3:9" x14ac:dyDescent="0.35">
      <c r="C914" s="2" t="s">
        <v>92</v>
      </c>
      <c r="D914" s="3">
        <v>43098</v>
      </c>
      <c r="E914" s="2">
        <v>205.5</v>
      </c>
      <c r="F914" s="2">
        <v>4011052980.9450002</v>
      </c>
      <c r="G914" s="2">
        <v>-11.800807144809101</v>
      </c>
      <c r="H914" s="2"/>
      <c r="I914" s="2"/>
    </row>
    <row r="915" spans="3:9" x14ac:dyDescent="0.35">
      <c r="C915" s="2" t="s">
        <v>92</v>
      </c>
      <c r="D915" s="3">
        <v>42734</v>
      </c>
      <c r="E915" s="2">
        <v>233.9</v>
      </c>
      <c r="F915" s="2">
        <v>4564494530.6890001</v>
      </c>
      <c r="G915" s="2">
        <v>3.95555555546541</v>
      </c>
      <c r="H915" s="2"/>
      <c r="I915" s="2"/>
    </row>
    <row r="916" spans="3:9" x14ac:dyDescent="0.35">
      <c r="C916" s="2" t="s">
        <v>93</v>
      </c>
      <c r="D916" s="3">
        <v>46022</v>
      </c>
      <c r="E916" s="2">
        <v>2846</v>
      </c>
      <c r="F916" s="2">
        <v>7388558999.9200001</v>
      </c>
      <c r="G916" s="2">
        <v>32.568410423435999</v>
      </c>
      <c r="H916" s="2"/>
      <c r="I916" s="2"/>
    </row>
    <row r="917" spans="3:9" x14ac:dyDescent="0.35">
      <c r="C917" s="2" t="s">
        <v>93</v>
      </c>
      <c r="D917" s="3">
        <v>45657</v>
      </c>
      <c r="E917" s="2">
        <v>2184</v>
      </c>
      <c r="F917" s="2">
        <v>5669927215.6799898</v>
      </c>
      <c r="G917" s="2">
        <v>17.962160586730601</v>
      </c>
      <c r="H917" s="2"/>
      <c r="I917" s="2"/>
    </row>
    <row r="918" spans="3:9" x14ac:dyDescent="0.35">
      <c r="C918" s="2" t="s">
        <v>93</v>
      </c>
      <c r="D918" s="3">
        <v>45289</v>
      </c>
      <c r="E918" s="2">
        <v>1886.5</v>
      </c>
      <c r="F918" s="2">
        <v>4897581360.9799995</v>
      </c>
      <c r="G918" s="2">
        <v>15.281524300736301</v>
      </c>
      <c r="H918" s="2"/>
      <c r="I918" s="2"/>
    </row>
    <row r="919" spans="3:9" x14ac:dyDescent="0.35">
      <c r="C919" s="2" t="s">
        <v>93</v>
      </c>
      <c r="D919" s="3">
        <v>44925</v>
      </c>
      <c r="E919" s="2">
        <v>1669</v>
      </c>
      <c r="F919" s="2">
        <v>4332925147.8800001</v>
      </c>
      <c r="G919" s="2">
        <v>-0.89119088007342195</v>
      </c>
      <c r="H919" s="2"/>
      <c r="I919" s="2"/>
    </row>
    <row r="920" spans="3:9" x14ac:dyDescent="0.35">
      <c r="C920" s="2" t="s">
        <v>93</v>
      </c>
      <c r="D920" s="3">
        <v>44561</v>
      </c>
      <c r="E920" s="2">
        <v>1711.5</v>
      </c>
      <c r="F920" s="2">
        <v>4443260269.9799995</v>
      </c>
      <c r="G920" s="2">
        <v>-13.973360140482299</v>
      </c>
      <c r="H920" s="2"/>
    </row>
    <row r="921" spans="3:9" x14ac:dyDescent="0.35">
      <c r="C921" s="2" t="s">
        <v>93</v>
      </c>
      <c r="D921" s="3">
        <v>44196</v>
      </c>
      <c r="E921" s="2">
        <v>1989.5</v>
      </c>
      <c r="F921" s="2">
        <v>5164981774.5399904</v>
      </c>
      <c r="G921" s="2">
        <v>31.798608811762101</v>
      </c>
      <c r="H921" s="2"/>
      <c r="I921" s="2"/>
    </row>
    <row r="922" spans="3:9" x14ac:dyDescent="0.35">
      <c r="C922" s="2" t="s">
        <v>93</v>
      </c>
      <c r="D922" s="3">
        <v>43830</v>
      </c>
      <c r="E922">
        <v>1509.5</v>
      </c>
      <c r="F922">
        <v>3918866039.1149902</v>
      </c>
      <c r="G922" s="2">
        <v>16.294298921367702</v>
      </c>
      <c r="H922" s="2"/>
      <c r="I922" s="2"/>
    </row>
    <row r="923" spans="3:9" x14ac:dyDescent="0.35">
      <c r="C923" s="2" t="s">
        <v>93</v>
      </c>
      <c r="D923" s="3">
        <v>43465</v>
      </c>
      <c r="E923">
        <v>1298</v>
      </c>
      <c r="F923">
        <v>3367428034.96</v>
      </c>
      <c r="G923" s="2">
        <v>-38.046027871821501</v>
      </c>
      <c r="H923" s="2"/>
      <c r="I923" s="2"/>
    </row>
    <row r="924" spans="3:9" x14ac:dyDescent="0.35">
      <c r="C924" s="2" t="s">
        <v>93</v>
      </c>
      <c r="D924" s="3">
        <v>43098</v>
      </c>
      <c r="E924">
        <v>2123</v>
      </c>
      <c r="F924">
        <v>4760129372.6800003</v>
      </c>
      <c r="G924" s="2">
        <v>14.9445098749942</v>
      </c>
      <c r="H924" s="2"/>
      <c r="I924" s="2"/>
    </row>
    <row r="925" spans="3:9" x14ac:dyDescent="0.35">
      <c r="C925" s="2" t="s">
        <v>93</v>
      </c>
      <c r="D925" s="3">
        <v>42734</v>
      </c>
      <c r="E925">
        <v>1890</v>
      </c>
      <c r="F925">
        <v>4115254777.1999998</v>
      </c>
      <c r="G925" s="2">
        <v>93.518549052811593</v>
      </c>
      <c r="H925" s="2"/>
      <c r="I925" s="2"/>
    </row>
    <row r="926" spans="3:9" x14ac:dyDescent="0.35">
      <c r="C926" s="2" t="s">
        <v>94</v>
      </c>
      <c r="D926" s="3">
        <v>46022</v>
      </c>
      <c r="E926">
        <v>261.89999999999998</v>
      </c>
      <c r="F926">
        <v>14922043840.179001</v>
      </c>
      <c r="G926" s="2">
        <v>24.2839680338938</v>
      </c>
      <c r="H926" s="2"/>
      <c r="I926" s="2"/>
    </row>
    <row r="927" spans="3:9" x14ac:dyDescent="0.35">
      <c r="C927" s="2" t="s">
        <v>94</v>
      </c>
      <c r="D927" s="3">
        <v>45657</v>
      </c>
      <c r="E927">
        <v>229.8</v>
      </c>
      <c r="F927">
        <v>13542526810.422001</v>
      </c>
      <c r="G927" s="2">
        <v>-0.13178784651676201</v>
      </c>
      <c r="H927" s="2"/>
      <c r="I927" s="2"/>
    </row>
    <row r="928" spans="3:9" x14ac:dyDescent="0.35">
      <c r="C928" s="2" t="s">
        <v>94</v>
      </c>
      <c r="D928" s="3">
        <v>45289</v>
      </c>
      <c r="E928">
        <v>251.1</v>
      </c>
      <c r="F928">
        <v>15014721061.079901</v>
      </c>
      <c r="G928" s="2">
        <v>9.4461609436673299</v>
      </c>
      <c r="H928" s="2"/>
      <c r="I928" s="2"/>
    </row>
    <row r="929" spans="3:9" x14ac:dyDescent="0.35">
      <c r="C929" s="2" t="s">
        <v>94</v>
      </c>
      <c r="D929" s="3">
        <v>44925</v>
      </c>
      <c r="E929">
        <v>249.5</v>
      </c>
      <c r="F929">
        <v>14902955662.389999</v>
      </c>
      <c r="G929" s="2">
        <v>-10.1676622966568</v>
      </c>
      <c r="H929" s="2"/>
      <c r="I929" s="2"/>
    </row>
    <row r="930" spans="3:9" x14ac:dyDescent="0.35">
      <c r="C930" s="2" t="s">
        <v>94</v>
      </c>
      <c r="D930" s="3">
        <v>44561</v>
      </c>
      <c r="E930">
        <v>297.5</v>
      </c>
      <c r="F930">
        <v>17761987055.575001</v>
      </c>
      <c r="G930" s="2">
        <v>19.095290062789498</v>
      </c>
      <c r="H930" s="2"/>
      <c r="I930" s="2"/>
    </row>
    <row r="931" spans="3:9" x14ac:dyDescent="0.35">
      <c r="C931" s="2" t="s">
        <v>94</v>
      </c>
      <c r="D931" s="3">
        <v>44196</v>
      </c>
      <c r="E931" s="2">
        <v>266.2</v>
      </c>
      <c r="F931" s="2">
        <v>15885108894.006001</v>
      </c>
      <c r="G931" s="2">
        <v>-4.3303526501938396</v>
      </c>
      <c r="H931" s="2"/>
      <c r="I931" s="2"/>
    </row>
    <row r="932" spans="3:9" x14ac:dyDescent="0.35">
      <c r="C932" s="2" t="s">
        <v>94</v>
      </c>
      <c r="D932" s="3">
        <v>43830</v>
      </c>
      <c r="E932" s="2">
        <v>303</v>
      </c>
      <c r="F932" s="2">
        <v>18074581736.82</v>
      </c>
      <c r="G932" s="2">
        <v>39.840612606156803</v>
      </c>
      <c r="H932" s="2"/>
      <c r="I932" s="2"/>
    </row>
    <row r="933" spans="3:9" x14ac:dyDescent="0.35">
      <c r="C933" s="2" t="s">
        <v>94</v>
      </c>
      <c r="D933" s="3">
        <v>43465</v>
      </c>
      <c r="E933" s="2">
        <v>231</v>
      </c>
      <c r="F933" s="2">
        <v>13769374620.5399</v>
      </c>
      <c r="G933" s="2">
        <v>-10.392357580384701</v>
      </c>
      <c r="H933" s="2"/>
      <c r="I933" s="2"/>
    </row>
    <row r="934" spans="3:9" x14ac:dyDescent="0.35">
      <c r="C934" s="2" t="s">
        <v>94</v>
      </c>
      <c r="D934" s="3">
        <v>43098</v>
      </c>
      <c r="E934" s="2">
        <v>273.3</v>
      </c>
      <c r="F934" s="2">
        <v>16284246202.173</v>
      </c>
      <c r="G934" s="2">
        <v>16.854063092577</v>
      </c>
      <c r="H934" s="2"/>
      <c r="I934" s="2"/>
    </row>
    <row r="935" spans="3:9" x14ac:dyDescent="0.35">
      <c r="C935" s="2" t="s">
        <v>94</v>
      </c>
      <c r="D935" s="3">
        <v>42734</v>
      </c>
      <c r="E935" s="2">
        <v>247.6</v>
      </c>
      <c r="F935" s="2">
        <v>14743280907.176001</v>
      </c>
      <c r="G935" s="2">
        <v>-1.64066273631019</v>
      </c>
      <c r="H935" s="2"/>
      <c r="I935" s="2"/>
    </row>
    <row r="936" spans="3:9" x14ac:dyDescent="0.35">
      <c r="C936" s="2" t="s">
        <v>95</v>
      </c>
      <c r="D936" s="3">
        <v>46022</v>
      </c>
      <c r="E936" s="2">
        <v>3085</v>
      </c>
      <c r="F936" s="2">
        <v>36342850891.199997</v>
      </c>
      <c r="G936" s="2">
        <v>34.357024948511302</v>
      </c>
      <c r="H936" s="2"/>
      <c r="I936" s="2"/>
    </row>
    <row r="937" spans="3:9" x14ac:dyDescent="0.35">
      <c r="C937" s="2" t="s">
        <v>95</v>
      </c>
      <c r="D937" s="3">
        <v>45657</v>
      </c>
      <c r="E937" s="2">
        <v>2318.9612110458002</v>
      </c>
      <c r="F937" s="2">
        <v>31620341863.32</v>
      </c>
      <c r="G937" s="2">
        <v>23.8925687988161</v>
      </c>
      <c r="H937" s="2"/>
      <c r="I937" s="2"/>
    </row>
    <row r="938" spans="3:9" x14ac:dyDescent="0.35">
      <c r="C938" s="2" t="s">
        <v>95</v>
      </c>
      <c r="D938" s="3">
        <v>45289</v>
      </c>
      <c r="E938" s="2">
        <v>1933.0562447068</v>
      </c>
      <c r="F938" s="2">
        <v>26358310353.577999</v>
      </c>
      <c r="G938" s="2">
        <v>-36.271575047648099</v>
      </c>
      <c r="H938" s="2"/>
      <c r="I938" s="2"/>
    </row>
    <row r="939" spans="3:9" x14ac:dyDescent="0.35">
      <c r="C939" s="2" t="s">
        <v>95</v>
      </c>
      <c r="D939" s="3">
        <v>44925</v>
      </c>
      <c r="E939" s="2">
        <v>3174.8383923645001</v>
      </c>
      <c r="F939" s="2">
        <v>43290709154.244904</v>
      </c>
      <c r="G939" s="2">
        <v>15.0585406210446</v>
      </c>
      <c r="H939" s="2"/>
      <c r="I939" s="2"/>
    </row>
    <row r="940" spans="3:9" x14ac:dyDescent="0.35">
      <c r="C940" s="2" t="s">
        <v>95</v>
      </c>
      <c r="D940" s="3">
        <v>44561</v>
      </c>
      <c r="E940" s="2">
        <v>2928.1906487900001</v>
      </c>
      <c r="F940" s="2">
        <v>40464223566</v>
      </c>
      <c r="G940" s="2">
        <v>34.764340885330903</v>
      </c>
      <c r="H940" s="2"/>
      <c r="I940" s="2"/>
    </row>
    <row r="941" spans="3:9" x14ac:dyDescent="0.35">
      <c r="C941" s="2" t="s">
        <v>95</v>
      </c>
      <c r="D941" s="3">
        <v>44196</v>
      </c>
      <c r="E941" s="2">
        <v>2302.2870068877</v>
      </c>
      <c r="F941" s="2">
        <v>33048797849.599998</v>
      </c>
      <c r="G941" s="2">
        <v>16.0701118493938</v>
      </c>
      <c r="H941" s="2"/>
      <c r="I941" s="2"/>
    </row>
    <row r="942" spans="3:9" x14ac:dyDescent="0.35">
      <c r="C942" s="2" t="s">
        <v>95</v>
      </c>
      <c r="D942" s="3">
        <v>43830</v>
      </c>
      <c r="E942" s="2">
        <v>2063.4644941089</v>
      </c>
      <c r="F942" s="2">
        <v>29797465653.769901</v>
      </c>
      <c r="G942" s="2">
        <v>30.505106757685599</v>
      </c>
      <c r="H942" s="2"/>
    </row>
    <row r="943" spans="3:9" x14ac:dyDescent="0.35">
      <c r="C943" s="2" t="s">
        <v>95</v>
      </c>
      <c r="D943" s="3">
        <v>43465</v>
      </c>
      <c r="E943">
        <v>1659.6977647507999</v>
      </c>
      <c r="F943">
        <v>24555125867.939899</v>
      </c>
      <c r="G943" s="2">
        <v>18.150023997955099</v>
      </c>
      <c r="H943" s="2"/>
      <c r="I943" s="2"/>
    </row>
    <row r="944" spans="3:9" x14ac:dyDescent="0.35">
      <c r="C944" s="2" t="s">
        <v>95</v>
      </c>
      <c r="D944" s="3">
        <v>43098</v>
      </c>
      <c r="E944">
        <v>1471.3935727666001</v>
      </c>
      <c r="F944">
        <v>21764480681.775002</v>
      </c>
      <c r="G944" s="2">
        <v>37.446051656409701</v>
      </c>
      <c r="H944" s="2"/>
      <c r="I944" s="2"/>
    </row>
    <row r="945" spans="3:9" x14ac:dyDescent="0.35">
      <c r="C945" s="2" t="s">
        <v>95</v>
      </c>
      <c r="D945" s="3">
        <v>42734</v>
      </c>
      <c r="E945">
        <v>1101.5272955206001</v>
      </c>
      <c r="F945">
        <v>16265993477.200001</v>
      </c>
      <c r="G945" s="2">
        <v>287.37685757117703</v>
      </c>
      <c r="H945" s="2"/>
      <c r="I945" s="2"/>
    </row>
    <row r="946" spans="3:9" x14ac:dyDescent="0.35">
      <c r="C946" s="2" t="s">
        <v>96</v>
      </c>
      <c r="D946" s="3">
        <v>46022</v>
      </c>
      <c r="E946">
        <v>1603.5</v>
      </c>
      <c r="F946">
        <v>35700743812.334999</v>
      </c>
      <c r="G946" s="2">
        <v>-34.170364781111601</v>
      </c>
      <c r="H946" s="2"/>
      <c r="I946" s="2"/>
    </row>
    <row r="947" spans="3:9" x14ac:dyDescent="0.35">
      <c r="C947" s="2" t="s">
        <v>96</v>
      </c>
      <c r="D947" s="3">
        <v>45657</v>
      </c>
      <c r="E947">
        <v>2537.5</v>
      </c>
      <c r="F947">
        <v>56463363873.874901</v>
      </c>
      <c r="G947" s="2">
        <v>-8.4864124534500291</v>
      </c>
      <c r="H947" s="2"/>
      <c r="I947" s="2"/>
    </row>
    <row r="948" spans="3:9" x14ac:dyDescent="0.35">
      <c r="C948" s="2" t="s">
        <v>96</v>
      </c>
      <c r="D948" s="3">
        <v>45289</v>
      </c>
      <c r="E948">
        <v>2856</v>
      </c>
      <c r="F948">
        <v>63888369483.120003</v>
      </c>
      <c r="G948" s="2">
        <v>-19.890597710771999</v>
      </c>
      <c r="H948" s="2"/>
      <c r="I948" s="2"/>
    </row>
    <row r="949" spans="3:9" x14ac:dyDescent="0.35">
      <c r="C949" s="2" t="s">
        <v>96</v>
      </c>
      <c r="D949" s="3">
        <v>44925</v>
      </c>
      <c r="E949">
        <v>3650</v>
      </c>
      <c r="F949">
        <v>82820815413.999496</v>
      </c>
      <c r="G949" s="2">
        <v>-7.7025820731221799</v>
      </c>
      <c r="H949" s="2"/>
      <c r="I949" s="2"/>
    </row>
    <row r="950" spans="3:9" x14ac:dyDescent="0.35">
      <c r="C950" s="2" t="s">
        <v>96</v>
      </c>
      <c r="D950" s="3">
        <v>44561</v>
      </c>
      <c r="E950">
        <v>4036</v>
      </c>
      <c r="F950">
        <v>93908870827.8396</v>
      </c>
      <c r="G950" s="2">
        <v>43.401767069472399</v>
      </c>
      <c r="H950" s="2"/>
      <c r="I950" s="2"/>
    </row>
    <row r="951" spans="3:9" x14ac:dyDescent="0.35">
      <c r="C951" s="2" t="s">
        <v>96</v>
      </c>
      <c r="D951" s="3">
        <v>44196</v>
      </c>
      <c r="E951">
        <v>2878</v>
      </c>
      <c r="F951">
        <v>67329387318.259903</v>
      </c>
      <c r="G951" s="2">
        <v>-7.7473490586141702</v>
      </c>
      <c r="H951" s="2"/>
      <c r="I951" s="2"/>
    </row>
    <row r="952" spans="3:9" x14ac:dyDescent="0.35">
      <c r="C952" s="2" t="s">
        <v>96</v>
      </c>
      <c r="D952" s="3">
        <v>43830</v>
      </c>
      <c r="E952">
        <v>3200.5</v>
      </c>
      <c r="F952">
        <v>74916625846.054993</v>
      </c>
      <c r="G952">
        <v>16.9933126238098</v>
      </c>
      <c r="H952" s="2"/>
      <c r="I952" s="2"/>
    </row>
    <row r="953" spans="3:9" x14ac:dyDescent="0.35">
      <c r="C953" s="2" t="s">
        <v>96</v>
      </c>
      <c r="D953" s="3">
        <v>43465</v>
      </c>
      <c r="E953" s="2">
        <v>2795</v>
      </c>
      <c r="F953" s="2">
        <v>67590577798.900002</v>
      </c>
      <c r="G953" s="2">
        <v>5.10003960072161</v>
      </c>
      <c r="H953" s="2"/>
      <c r="I953" s="2"/>
    </row>
    <row r="954" spans="3:9" x14ac:dyDescent="0.35">
      <c r="C954" s="2" t="s">
        <v>96</v>
      </c>
      <c r="D954" s="3">
        <v>43098</v>
      </c>
      <c r="E954" s="2">
        <v>2725</v>
      </c>
      <c r="F954" s="2">
        <v>67807282521.749901</v>
      </c>
      <c r="G954" s="2">
        <v>32.527042651921903</v>
      </c>
      <c r="H954" s="2"/>
      <c r="I954" s="2"/>
    </row>
    <row r="955" spans="3:9" x14ac:dyDescent="0.35">
      <c r="C955" s="2" t="s">
        <v>96</v>
      </c>
      <c r="D955" s="3">
        <v>42734</v>
      </c>
      <c r="E955" s="2">
        <v>2110</v>
      </c>
      <c r="F955" s="2">
        <v>53091143238.599998</v>
      </c>
      <c r="G955" s="2">
        <v>16.949518867132699</v>
      </c>
      <c r="H955" s="2"/>
      <c r="I955" s="2"/>
    </row>
    <row r="956" spans="3:9" x14ac:dyDescent="0.35">
      <c r="C956" s="2" t="s">
        <v>97</v>
      </c>
      <c r="D956" s="3">
        <v>46022</v>
      </c>
      <c r="E956" s="2">
        <v>551.5</v>
      </c>
      <c r="F956" s="2">
        <v>5146202283.0179396</v>
      </c>
      <c r="G956" s="2">
        <v>8.7105704984690604</v>
      </c>
      <c r="H956" s="2"/>
      <c r="I956" s="2"/>
    </row>
    <row r="957" spans="3:9" x14ac:dyDescent="0.35">
      <c r="C957" s="2" t="s">
        <v>97</v>
      </c>
      <c r="D957" s="3">
        <v>45657</v>
      </c>
      <c r="E957" s="2">
        <v>544</v>
      </c>
      <c r="F957" s="2">
        <v>4783913070.9960699</v>
      </c>
      <c r="G957" s="2">
        <v>8.8834660006476902</v>
      </c>
      <c r="H957" s="2"/>
      <c r="I957" s="2"/>
    </row>
    <row r="958" spans="3:9" x14ac:dyDescent="0.35">
      <c r="C958" s="2" t="s">
        <v>97</v>
      </c>
      <c r="D958" s="3">
        <v>45289</v>
      </c>
      <c r="E958">
        <v>531.79999999999995</v>
      </c>
      <c r="F958">
        <v>5024521937.5512104</v>
      </c>
      <c r="G958" s="2">
        <v>11.4525687752433</v>
      </c>
      <c r="H958" s="2"/>
      <c r="I958" s="2"/>
    </row>
    <row r="959" spans="3:9" x14ac:dyDescent="0.35">
      <c r="C959" s="2" t="s">
        <v>97</v>
      </c>
      <c r="D959" s="3">
        <v>44925</v>
      </c>
      <c r="E959">
        <v>511.4</v>
      </c>
      <c r="F959">
        <v>5159245395.6673899</v>
      </c>
      <c r="G959" s="2">
        <v>44.043861688247397</v>
      </c>
      <c r="H959" s="2"/>
      <c r="I959" s="2"/>
    </row>
    <row r="960" spans="3:9" x14ac:dyDescent="0.35">
      <c r="C960" s="2" t="s">
        <v>97</v>
      </c>
      <c r="D960" s="3">
        <v>44561</v>
      </c>
      <c r="E960">
        <v>376.91106250000001</v>
      </c>
      <c r="F960">
        <v>4092191407.1919999</v>
      </c>
      <c r="G960" s="2">
        <v>126.34068962396201</v>
      </c>
      <c r="H960" s="2"/>
      <c r="I960" s="2"/>
    </row>
    <row r="961" spans="3:9" x14ac:dyDescent="0.35">
      <c r="C961" s="2" t="s">
        <v>97</v>
      </c>
      <c r="D961" s="3">
        <v>44196</v>
      </c>
      <c r="E961">
        <v>175.3924025</v>
      </c>
      <c r="F961">
        <v>1885593652.7353599</v>
      </c>
      <c r="G961" s="2">
        <v>-44.1529061656518</v>
      </c>
      <c r="H961" s="2"/>
      <c r="I961" s="2"/>
    </row>
    <row r="962" spans="3:9" x14ac:dyDescent="0.35">
      <c r="C962" s="2" t="s">
        <v>97</v>
      </c>
      <c r="D962" s="3">
        <v>43830</v>
      </c>
      <c r="E962">
        <v>322.70800896639997</v>
      </c>
      <c r="F962">
        <v>4648792178.4687595</v>
      </c>
      <c r="G962">
        <v>5.1572447617341401</v>
      </c>
      <c r="H962" s="2"/>
      <c r="I962" s="2"/>
    </row>
    <row r="963" spans="3:9" x14ac:dyDescent="0.35">
      <c r="C963" s="2" t="s">
        <v>97</v>
      </c>
      <c r="D963" s="3">
        <v>43465</v>
      </c>
      <c r="E963">
        <v>321.25141673450003</v>
      </c>
      <c r="F963">
        <v>4506736274.8064003</v>
      </c>
      <c r="G963" s="2">
        <v>-13.3587078395045</v>
      </c>
      <c r="H963" s="2"/>
      <c r="I963" s="2"/>
    </row>
    <row r="964" spans="3:9" x14ac:dyDescent="0.35">
      <c r="C964" s="2" t="s">
        <v>97</v>
      </c>
      <c r="D964" s="3">
        <v>43098</v>
      </c>
      <c r="E964" s="2">
        <v>389.63842201990002</v>
      </c>
      <c r="F964" s="2">
        <v>5386365212.2378101</v>
      </c>
      <c r="G964" s="2">
        <v>4.2573599980273897</v>
      </c>
      <c r="H964" s="2"/>
      <c r="I964" s="2"/>
    </row>
    <row r="965" spans="3:9" x14ac:dyDescent="0.35">
      <c r="C965" s="2" t="s">
        <v>97</v>
      </c>
      <c r="D965" s="3">
        <v>42734</v>
      </c>
      <c r="E965">
        <v>390.3667181358</v>
      </c>
      <c r="F965">
        <v>5300240248.8942499</v>
      </c>
      <c r="G965" s="2">
        <v>16.854733891087101</v>
      </c>
      <c r="H965" s="2"/>
      <c r="I965" s="2"/>
    </row>
    <row r="966" spans="3:9" x14ac:dyDescent="0.35">
      <c r="C966" s="2" t="s">
        <v>98</v>
      </c>
      <c r="D966" s="3">
        <v>46022</v>
      </c>
      <c r="E966">
        <v>2127</v>
      </c>
      <c r="F966">
        <v>15167001984.15</v>
      </c>
      <c r="G966" s="2">
        <v>7.2779436192548497</v>
      </c>
      <c r="H966" s="2"/>
      <c r="I966" s="2"/>
    </row>
    <row r="967" spans="3:9" x14ac:dyDescent="0.35">
      <c r="C967" s="2" t="s">
        <v>98</v>
      </c>
      <c r="D967" s="3">
        <v>45657</v>
      </c>
      <c r="E967">
        <v>2043</v>
      </c>
      <c r="F967">
        <v>14961094015.0499</v>
      </c>
      <c r="G967" s="2">
        <v>-9.0610020199080399</v>
      </c>
      <c r="H967" s="2"/>
      <c r="I967" s="2"/>
    </row>
    <row r="968" spans="3:9" x14ac:dyDescent="0.35">
      <c r="C968" s="2" t="s">
        <v>98</v>
      </c>
      <c r="D968" s="3">
        <v>45289</v>
      </c>
      <c r="E968" s="2">
        <v>2337.8432939999998</v>
      </c>
      <c r="F968" s="2">
        <v>18012776905.889999</v>
      </c>
      <c r="G968" s="2">
        <v>54.2561603622555</v>
      </c>
      <c r="H968" s="2"/>
      <c r="I968" s="2"/>
    </row>
    <row r="969" spans="3:9" x14ac:dyDescent="0.35">
      <c r="C969" s="2" t="s">
        <v>98</v>
      </c>
      <c r="D969" s="3">
        <v>44925</v>
      </c>
      <c r="E969" s="2">
        <v>1548.4879107131001</v>
      </c>
      <c r="F969" s="2">
        <v>12408620413.3599</v>
      </c>
      <c r="G969" s="2">
        <v>-19.353006969182701</v>
      </c>
      <c r="H969" s="2"/>
      <c r="I969" s="2"/>
    </row>
    <row r="970" spans="3:9" x14ac:dyDescent="0.35">
      <c r="C970" s="2" t="s">
        <v>98</v>
      </c>
      <c r="D970" s="3">
        <v>44561</v>
      </c>
      <c r="E970" s="2">
        <v>1972.9465258324001</v>
      </c>
      <c r="F970" s="2">
        <v>15896817594.639999</v>
      </c>
      <c r="G970" s="2">
        <v>-9.4477390011139395</v>
      </c>
      <c r="H970" s="2"/>
      <c r="I970" s="2"/>
    </row>
    <row r="971" spans="3:9" x14ac:dyDescent="0.35">
      <c r="C971" s="2" t="s">
        <v>98</v>
      </c>
      <c r="D971" s="3">
        <v>44196</v>
      </c>
      <c r="E971" s="2">
        <v>2208.2433198031999</v>
      </c>
      <c r="F971" s="2">
        <v>17923503503.119999</v>
      </c>
      <c r="G971" s="2">
        <v>-12.856043110131001</v>
      </c>
      <c r="H971" s="2"/>
      <c r="I971" s="2"/>
    </row>
    <row r="972" spans="3:9" x14ac:dyDescent="0.35">
      <c r="C972" s="2" t="s">
        <v>98</v>
      </c>
      <c r="D972" s="3">
        <v>43830</v>
      </c>
      <c r="E972" s="2">
        <v>2534.0177318236001</v>
      </c>
      <c r="F972" s="2">
        <v>20567695274.34</v>
      </c>
      <c r="G972" s="2">
        <v>29.5503721582756</v>
      </c>
      <c r="H972" s="2"/>
      <c r="I972" s="2"/>
    </row>
    <row r="973" spans="3:9" x14ac:dyDescent="0.35">
      <c r="C973" s="2" t="s">
        <v>98</v>
      </c>
      <c r="D973" s="3">
        <v>43465</v>
      </c>
      <c r="E973">
        <v>1992.6859992747</v>
      </c>
      <c r="F973">
        <v>16173903558.690001</v>
      </c>
      <c r="G973" s="2">
        <v>-26.123917495293099</v>
      </c>
      <c r="H973" s="2"/>
      <c r="I973" s="2"/>
    </row>
    <row r="974" spans="3:9" x14ac:dyDescent="0.35">
      <c r="C974" s="2" t="s">
        <v>98</v>
      </c>
      <c r="D974" s="3">
        <v>43098</v>
      </c>
      <c r="E974">
        <v>2750.5504248431998</v>
      </c>
      <c r="F974">
        <v>22325211960.599998</v>
      </c>
      <c r="G974" s="2">
        <v>4.1938120792779801</v>
      </c>
      <c r="H974" s="2"/>
      <c r="I974" s="2"/>
    </row>
    <row r="975" spans="3:9" x14ac:dyDescent="0.35">
      <c r="C975" s="2" t="s">
        <v>98</v>
      </c>
      <c r="D975" s="3">
        <v>42734</v>
      </c>
      <c r="E975" s="2">
        <v>2677.3974880122</v>
      </c>
      <c r="F975" s="2">
        <v>21731456323.349998</v>
      </c>
      <c r="G975" s="2">
        <v>-16.7549590994028</v>
      </c>
      <c r="H975" s="2"/>
      <c r="I975" s="2"/>
    </row>
    <row r="976" spans="3:9" x14ac:dyDescent="0.35">
      <c r="C976" s="2" t="s">
        <v>99</v>
      </c>
      <c r="D976" s="3">
        <v>46022</v>
      </c>
      <c r="E976">
        <v>1358.5</v>
      </c>
      <c r="F976">
        <v>4356453096.71</v>
      </c>
      <c r="G976" s="2">
        <v>18.7972016853887</v>
      </c>
      <c r="H976" s="2"/>
      <c r="I976" s="2"/>
    </row>
    <row r="977" spans="3:9" x14ac:dyDescent="0.35">
      <c r="C977" s="2" t="s">
        <v>99</v>
      </c>
      <c r="D977" s="3">
        <v>45657</v>
      </c>
      <c r="E977">
        <v>1198</v>
      </c>
      <c r="F977">
        <v>3832580118.6399999</v>
      </c>
      <c r="G977" s="2">
        <v>-10.1681578543486</v>
      </c>
      <c r="H977" s="2"/>
      <c r="I977" s="2"/>
    </row>
    <row r="978" spans="3:9" x14ac:dyDescent="0.35">
      <c r="C978" s="2" t="s">
        <v>99</v>
      </c>
      <c r="D978" s="3">
        <v>45289</v>
      </c>
      <c r="E978">
        <v>1389</v>
      </c>
      <c r="F978">
        <v>4436763468.2399998</v>
      </c>
      <c r="G978" s="2">
        <v>14.133114214551</v>
      </c>
      <c r="H978" s="2"/>
      <c r="I978" s="2"/>
    </row>
    <row r="979" spans="3:9" x14ac:dyDescent="0.35">
      <c r="C979" s="2" t="s">
        <v>99</v>
      </c>
      <c r="D979" s="3">
        <v>44925</v>
      </c>
      <c r="E979">
        <v>1217</v>
      </c>
      <c r="F979">
        <v>3886166167.43999</v>
      </c>
      <c r="G979" s="2">
        <v>-57.3879551820215</v>
      </c>
      <c r="H979" s="2"/>
      <c r="I979" s="2"/>
    </row>
    <row r="980" spans="3:9" x14ac:dyDescent="0.35">
      <c r="C980" s="2" t="s">
        <v>99</v>
      </c>
      <c r="D980" s="3">
        <v>44561</v>
      </c>
      <c r="E980">
        <v>2856</v>
      </c>
      <c r="F980">
        <v>9116536897.4399605</v>
      </c>
      <c r="G980" s="2">
        <v>3.2164799418427301</v>
      </c>
      <c r="H980" s="2"/>
      <c r="I980" s="2"/>
    </row>
    <row r="981" spans="3:9" x14ac:dyDescent="0.35">
      <c r="C981" s="2" t="s">
        <v>99</v>
      </c>
      <c r="D981" s="3">
        <v>44196</v>
      </c>
      <c r="E981">
        <v>2767</v>
      </c>
      <c r="F981">
        <v>8828701791.8699703</v>
      </c>
      <c r="G981" s="2">
        <v>2.6716141002925502</v>
      </c>
      <c r="H981" s="2"/>
      <c r="I981" s="2"/>
    </row>
    <row r="982" spans="3:9" x14ac:dyDescent="0.35">
      <c r="C982" s="2" t="s">
        <v>99</v>
      </c>
      <c r="D982" s="3">
        <v>43830</v>
      </c>
      <c r="E982">
        <v>2695</v>
      </c>
      <c r="F982">
        <v>8594419275.7499905</v>
      </c>
      <c r="G982" s="2">
        <v>39.637305699379098</v>
      </c>
      <c r="H982" s="2"/>
      <c r="I982" s="2"/>
    </row>
    <row r="983" spans="3:9" x14ac:dyDescent="0.35">
      <c r="C983" s="2" t="s">
        <v>99</v>
      </c>
      <c r="D983" s="3">
        <v>43465</v>
      </c>
      <c r="E983" s="2">
        <v>1930</v>
      </c>
      <c r="F983" s="2">
        <v>6128909177.3000002</v>
      </c>
      <c r="G983" s="2">
        <v>-29.510591672937299</v>
      </c>
      <c r="H983" s="2"/>
      <c r="I983" s="2"/>
    </row>
    <row r="984" spans="3:9" x14ac:dyDescent="0.35">
      <c r="C984" s="2" t="s">
        <v>99</v>
      </c>
      <c r="D984" s="3">
        <v>43098</v>
      </c>
      <c r="E984" s="2">
        <v>2738</v>
      </c>
      <c r="F984" s="2">
        <v>8450283568.0600004</v>
      </c>
      <c r="G984" s="2">
        <v>54.166666667284701</v>
      </c>
      <c r="H984" s="2"/>
      <c r="I984" s="2"/>
    </row>
    <row r="985" spans="3:9" x14ac:dyDescent="0.35">
      <c r="C985" s="2" t="s">
        <v>99</v>
      </c>
      <c r="D985" s="3">
        <v>42734</v>
      </c>
      <c r="E985" s="2">
        <v>1776</v>
      </c>
      <c r="F985" s="2">
        <v>5477023591.6799898</v>
      </c>
      <c r="G985" s="2">
        <v>-12.382831770481801</v>
      </c>
      <c r="H985" s="2"/>
      <c r="I985" s="2"/>
    </row>
    <row r="986" spans="3:9" x14ac:dyDescent="0.35">
      <c r="C986" s="2"/>
      <c r="D986" s="3"/>
      <c r="E986" s="2"/>
      <c r="F986" s="2"/>
      <c r="G986" s="2"/>
      <c r="H986" s="2"/>
    </row>
    <row r="987" spans="3:9" x14ac:dyDescent="0.35">
      <c r="C987" s="2"/>
      <c r="D987" s="3"/>
      <c r="E987" s="2"/>
      <c r="F987" s="2"/>
      <c r="G987" s="2"/>
      <c r="H987" s="2"/>
      <c r="I987" s="2"/>
    </row>
    <row r="988" spans="3:9" x14ac:dyDescent="0.35">
      <c r="C988" s="2"/>
      <c r="D988" s="3"/>
      <c r="G988" s="2"/>
      <c r="H988" s="2"/>
      <c r="I988" s="2"/>
    </row>
    <row r="989" spans="3:9" x14ac:dyDescent="0.35">
      <c r="C989" s="2"/>
      <c r="D989" s="3"/>
      <c r="G989" s="2"/>
      <c r="H989" s="2"/>
      <c r="I989" s="2"/>
    </row>
    <row r="990" spans="3:9" x14ac:dyDescent="0.35">
      <c r="C990" s="2"/>
      <c r="D990" s="3"/>
      <c r="G990" s="2"/>
      <c r="H990" s="2"/>
      <c r="I990" s="2"/>
    </row>
    <row r="991" spans="3:9" x14ac:dyDescent="0.35">
      <c r="C991" s="2"/>
      <c r="D991" s="3"/>
      <c r="G991" s="2"/>
      <c r="H991" s="2"/>
      <c r="I991" s="2"/>
    </row>
    <row r="992" spans="3:9" x14ac:dyDescent="0.35">
      <c r="C992" s="2"/>
      <c r="D992" s="3"/>
      <c r="G992" s="2"/>
      <c r="H992" s="2"/>
      <c r="I992" s="2"/>
    </row>
    <row r="993" spans="3:9" x14ac:dyDescent="0.35">
      <c r="C993" s="2"/>
      <c r="D993" s="3"/>
      <c r="G993" s="2"/>
      <c r="H993" s="2"/>
      <c r="I993" s="2"/>
    </row>
    <row r="994" spans="3:9" x14ac:dyDescent="0.35">
      <c r="C994" s="2"/>
      <c r="D994" s="3"/>
      <c r="G994" s="2"/>
      <c r="H994" s="2"/>
      <c r="I994" s="2"/>
    </row>
    <row r="995" spans="3:9" x14ac:dyDescent="0.35">
      <c r="C995" s="2"/>
      <c r="D995" s="3"/>
      <c r="G995" s="2"/>
      <c r="H995" s="2"/>
      <c r="I995" s="2"/>
    </row>
    <row r="996" spans="3:9" x14ac:dyDescent="0.35">
      <c r="C996" s="2"/>
      <c r="D996" s="3"/>
      <c r="G996" s="2"/>
      <c r="H996" s="2"/>
      <c r="I996" s="2"/>
    </row>
    <row r="997" spans="3:9" x14ac:dyDescent="0.35">
      <c r="C997" s="2"/>
      <c r="D997" s="3"/>
      <c r="E997" s="2"/>
      <c r="F997" s="2"/>
      <c r="G997" s="2"/>
      <c r="H997" s="2"/>
      <c r="I997" s="2"/>
    </row>
    <row r="998" spans="3:9" x14ac:dyDescent="0.35">
      <c r="C998" s="2"/>
      <c r="D998" s="3"/>
      <c r="E998" s="2"/>
      <c r="F998" s="2"/>
      <c r="G998" s="2"/>
      <c r="H998" s="2"/>
      <c r="I998" s="2"/>
    </row>
    <row r="999" spans="3:9" x14ac:dyDescent="0.35">
      <c r="C999" s="2"/>
      <c r="D999" s="3"/>
      <c r="E999" s="2"/>
      <c r="F999" s="2"/>
      <c r="G999" s="2"/>
      <c r="H999" s="2"/>
      <c r="I999" s="2"/>
    </row>
    <row r="1000" spans="3:9" x14ac:dyDescent="0.35">
      <c r="C1000" s="2"/>
      <c r="D1000" s="3"/>
      <c r="E1000" s="2"/>
      <c r="F1000" s="2"/>
      <c r="G1000" s="2"/>
      <c r="H1000" s="2"/>
      <c r="I1000" s="2"/>
    </row>
    <row r="1001" spans="3:9" x14ac:dyDescent="0.35">
      <c r="C1001" s="2"/>
      <c r="D1001" s="3"/>
      <c r="E1001" s="2"/>
      <c r="F1001" s="2"/>
      <c r="G1001" s="2"/>
      <c r="H1001" s="2"/>
      <c r="I1001" s="2"/>
    </row>
    <row r="1002" spans="3:9" x14ac:dyDescent="0.35">
      <c r="C1002" s="2"/>
      <c r="D1002" s="3"/>
      <c r="E1002" s="2"/>
      <c r="F1002" s="2"/>
      <c r="G1002" s="2"/>
      <c r="H1002" s="2"/>
      <c r="I1002" s="2"/>
    </row>
    <row r="1003" spans="3:9" x14ac:dyDescent="0.35">
      <c r="C1003" s="2"/>
      <c r="D1003" s="3"/>
      <c r="E1003" s="2"/>
      <c r="F1003" s="2"/>
      <c r="G1003" s="2"/>
      <c r="H1003" s="2"/>
      <c r="I1003" s="2"/>
    </row>
    <row r="1004" spans="3:9" x14ac:dyDescent="0.35">
      <c r="C1004" s="2"/>
      <c r="D1004" s="3"/>
      <c r="E1004" s="2"/>
      <c r="F1004" s="2"/>
      <c r="G1004" s="2"/>
      <c r="H1004" s="2"/>
      <c r="I1004" s="2"/>
    </row>
    <row r="1005" spans="3:9" x14ac:dyDescent="0.35">
      <c r="C1005" s="2"/>
      <c r="D1005" s="3"/>
      <c r="E1005" s="2"/>
      <c r="F1005" s="2"/>
      <c r="G1005" s="2"/>
      <c r="H1005" s="2"/>
      <c r="I1005" s="2"/>
    </row>
    <row r="1006" spans="3:9" x14ac:dyDescent="0.35">
      <c r="C1006" s="2"/>
      <c r="D1006" s="3"/>
      <c r="E1006" s="2"/>
      <c r="F1006" s="2"/>
      <c r="G1006" s="2"/>
      <c r="H1006" s="2"/>
      <c r="I1006" s="2"/>
    </row>
    <row r="1007" spans="3:9" x14ac:dyDescent="0.35">
      <c r="C1007" s="2"/>
      <c r="D1007" s="3"/>
      <c r="E1007" s="2"/>
      <c r="F1007" s="2"/>
      <c r="G1007" s="2"/>
      <c r="H1007" s="2"/>
      <c r="I1007" s="2"/>
    </row>
    <row r="1008" spans="3:9" x14ac:dyDescent="0.35">
      <c r="C1008" s="2"/>
      <c r="D1008" s="3"/>
      <c r="E1008" s="2"/>
      <c r="F1008" s="2"/>
      <c r="G1008" s="2"/>
      <c r="H1008" s="2"/>
    </row>
    <row r="1009" spans="3:9" x14ac:dyDescent="0.35">
      <c r="C1009" s="2"/>
      <c r="D1009" s="3"/>
      <c r="H1009" s="2"/>
      <c r="I1009" s="2"/>
    </row>
    <row r="1010" spans="3:9" x14ac:dyDescent="0.35">
      <c r="C1010" s="2"/>
      <c r="D1010" s="3"/>
      <c r="H1010" s="2"/>
      <c r="I1010" s="2"/>
    </row>
    <row r="1011" spans="3:9" x14ac:dyDescent="0.35">
      <c r="C1011" s="2"/>
      <c r="D1011" s="3"/>
      <c r="H1011" s="2"/>
      <c r="I1011" s="2"/>
    </row>
    <row r="1012" spans="3:9" x14ac:dyDescent="0.35">
      <c r="C1012" s="2"/>
      <c r="D1012" s="3"/>
      <c r="H1012" s="2"/>
      <c r="I1012" s="2"/>
    </row>
    <row r="1013" spans="3:9" x14ac:dyDescent="0.35">
      <c r="C1013" s="2"/>
      <c r="D1013" s="3"/>
      <c r="H1013" s="2"/>
      <c r="I1013" s="2"/>
    </row>
    <row r="1014" spans="3:9" x14ac:dyDescent="0.35">
      <c r="C1014" s="2"/>
      <c r="D1014" s="3"/>
      <c r="H1014" s="2"/>
      <c r="I1014" s="2"/>
    </row>
    <row r="1015" spans="3:9" x14ac:dyDescent="0.35">
      <c r="C1015" s="2"/>
      <c r="D1015" s="3"/>
      <c r="H1015" s="2"/>
      <c r="I1015" s="2"/>
    </row>
    <row r="1016" spans="3:9" x14ac:dyDescent="0.35">
      <c r="C1016" s="2"/>
      <c r="D1016" s="3"/>
      <c r="H1016" s="2"/>
      <c r="I1016" s="2"/>
    </row>
    <row r="1017" spans="3:9" x14ac:dyDescent="0.35">
      <c r="C1017" s="2"/>
      <c r="D1017" s="3"/>
      <c r="H1017" s="2"/>
      <c r="I1017" s="2"/>
    </row>
    <row r="1018" spans="3:9" x14ac:dyDescent="0.35">
      <c r="C1018" s="2"/>
      <c r="D1018" s="3"/>
      <c r="H1018" s="2"/>
      <c r="I1018" s="2"/>
    </row>
    <row r="1019" spans="3:9" x14ac:dyDescent="0.35">
      <c r="C1019" s="2"/>
      <c r="D1019" s="3"/>
      <c r="E1019" s="2"/>
      <c r="F1019" s="2"/>
      <c r="G1019" s="2"/>
      <c r="H1019" s="2"/>
      <c r="I1019" s="2"/>
    </row>
    <row r="1020" spans="3:9" x14ac:dyDescent="0.35">
      <c r="C1020" s="2"/>
      <c r="D1020" s="3"/>
      <c r="E1020" s="2"/>
      <c r="F1020" s="2"/>
      <c r="G1020" s="2"/>
      <c r="H1020" s="2"/>
      <c r="I1020" s="2"/>
    </row>
    <row r="1021" spans="3:9" x14ac:dyDescent="0.35">
      <c r="C1021" s="2"/>
      <c r="D1021" s="3"/>
      <c r="E1021" s="2"/>
      <c r="F1021" s="2"/>
      <c r="G1021" s="2"/>
      <c r="H1021" s="2"/>
      <c r="I1021" s="2"/>
    </row>
    <row r="1022" spans="3:9" x14ac:dyDescent="0.35">
      <c r="C1022" s="2"/>
      <c r="D1022" s="3"/>
      <c r="E1022" s="2"/>
      <c r="F1022" s="2"/>
      <c r="G1022" s="2"/>
      <c r="H1022" s="2"/>
      <c r="I1022" s="2"/>
    </row>
    <row r="1023" spans="3:9" x14ac:dyDescent="0.35">
      <c r="C1023" s="2"/>
      <c r="D1023" s="3"/>
      <c r="E1023" s="2"/>
      <c r="F1023" s="2"/>
      <c r="G1023" s="2"/>
      <c r="H1023" s="2"/>
      <c r="I1023" s="2"/>
    </row>
    <row r="1024" spans="3:9" x14ac:dyDescent="0.35">
      <c r="C1024" s="2"/>
      <c r="D1024" s="3"/>
      <c r="H1024" s="2"/>
      <c r="I1024" s="2"/>
    </row>
    <row r="1025" spans="3:9" x14ac:dyDescent="0.35">
      <c r="C1025" s="2"/>
      <c r="D1025" s="3"/>
      <c r="H1025" s="2"/>
      <c r="I1025" s="2"/>
    </row>
    <row r="1026" spans="3:9" x14ac:dyDescent="0.35">
      <c r="C1026" s="2"/>
      <c r="D1026" s="3"/>
      <c r="H1026" s="2"/>
      <c r="I1026" s="2"/>
    </row>
    <row r="1027" spans="3:9" x14ac:dyDescent="0.35">
      <c r="C1027" s="2"/>
      <c r="D1027" s="3"/>
      <c r="H1027" s="2"/>
      <c r="I1027" s="2"/>
    </row>
    <row r="1028" spans="3:9" x14ac:dyDescent="0.35">
      <c r="C1028" s="2"/>
      <c r="D1028" s="3"/>
      <c r="H1028" s="2"/>
      <c r="I1028" s="2"/>
    </row>
    <row r="1029" spans="3:9" x14ac:dyDescent="0.35">
      <c r="C1029" s="2"/>
      <c r="D1029" s="3"/>
      <c r="H1029" s="2"/>
      <c r="I1029" s="2"/>
    </row>
    <row r="1030" spans="3:9" x14ac:dyDescent="0.35">
      <c r="C1030" s="2"/>
      <c r="D1030" s="3"/>
      <c r="E1030" s="2"/>
      <c r="F1030" s="2"/>
      <c r="G1030" s="2"/>
      <c r="H1030" s="2"/>
    </row>
    <row r="1031" spans="3:9" x14ac:dyDescent="0.35">
      <c r="C1031" s="2"/>
      <c r="D1031" s="3"/>
      <c r="H1031" s="2"/>
      <c r="I1031" s="2"/>
    </row>
    <row r="1032" spans="3:9" x14ac:dyDescent="0.35">
      <c r="C1032" s="2"/>
      <c r="D1032" s="3"/>
      <c r="H1032" s="2"/>
      <c r="I1032" s="2"/>
    </row>
    <row r="1033" spans="3:9" x14ac:dyDescent="0.35">
      <c r="C1033" s="2"/>
      <c r="D1033" s="3"/>
      <c r="H1033" s="2"/>
      <c r="I1033" s="2"/>
    </row>
    <row r="1034" spans="3:9" x14ac:dyDescent="0.35">
      <c r="C1034" s="2"/>
      <c r="D1034" s="3"/>
      <c r="E1034" s="2"/>
      <c r="F1034" s="2"/>
      <c r="G1034" s="2"/>
      <c r="H1034" s="2"/>
      <c r="I1034" s="2"/>
    </row>
    <row r="1035" spans="3:9" x14ac:dyDescent="0.35">
      <c r="C1035" s="2"/>
      <c r="D1035" s="3"/>
      <c r="E1035" s="2"/>
      <c r="F1035" s="2"/>
      <c r="G1035" s="2"/>
      <c r="H1035" s="2"/>
      <c r="I1035" s="2"/>
    </row>
    <row r="1036" spans="3:9" x14ac:dyDescent="0.35">
      <c r="C1036" s="2"/>
      <c r="D1036" s="3"/>
      <c r="E1036" s="2"/>
      <c r="F1036" s="2"/>
      <c r="G1036" s="2"/>
      <c r="H1036" s="2"/>
      <c r="I1036" s="2"/>
    </row>
    <row r="1037" spans="3:9" x14ac:dyDescent="0.35">
      <c r="C1037" s="2"/>
      <c r="D1037" s="3"/>
      <c r="E1037" s="2"/>
      <c r="F1037" s="2"/>
      <c r="G1037" s="2"/>
      <c r="H1037" s="2"/>
      <c r="I1037" s="2"/>
    </row>
    <row r="1038" spans="3:9" x14ac:dyDescent="0.35">
      <c r="C1038" s="2"/>
      <c r="D1038" s="3"/>
      <c r="E1038" s="2"/>
      <c r="F1038" s="2"/>
      <c r="G1038" s="2"/>
      <c r="H1038" s="2"/>
      <c r="I1038" s="2"/>
    </row>
    <row r="1039" spans="3:9" x14ac:dyDescent="0.35">
      <c r="C1039" s="2"/>
      <c r="D1039" s="3"/>
      <c r="H1039" s="2"/>
      <c r="I1039" s="2"/>
    </row>
    <row r="1040" spans="3:9" x14ac:dyDescent="0.35">
      <c r="C1040" s="2"/>
      <c r="D1040" s="3"/>
      <c r="H1040" s="2"/>
      <c r="I1040" s="2"/>
    </row>
    <row r="1041" spans="3:9" x14ac:dyDescent="0.35">
      <c r="C1041" s="2"/>
      <c r="D1041" s="3"/>
      <c r="E1041" s="2"/>
      <c r="F1041" s="2"/>
      <c r="G1041" s="2"/>
      <c r="H1041" s="2"/>
      <c r="I1041" s="2"/>
    </row>
    <row r="1042" spans="3:9" x14ac:dyDescent="0.35">
      <c r="C1042" s="2"/>
      <c r="D1042" s="3"/>
      <c r="H1042" s="2"/>
      <c r="I1042" s="2"/>
    </row>
    <row r="1043" spans="3:9" x14ac:dyDescent="0.35">
      <c r="C1043" s="2"/>
      <c r="D1043" s="3"/>
      <c r="H1043" s="2"/>
      <c r="I1043" s="2"/>
    </row>
    <row r="1044" spans="3:9" x14ac:dyDescent="0.35">
      <c r="C1044" s="2"/>
      <c r="D1044" s="3"/>
      <c r="H1044" s="2"/>
      <c r="I1044" s="2"/>
    </row>
    <row r="1045" spans="3:9" x14ac:dyDescent="0.35">
      <c r="C1045" s="2"/>
      <c r="D1045" s="3"/>
      <c r="H1045" s="2"/>
      <c r="I1045" s="2"/>
    </row>
    <row r="1046" spans="3:9" x14ac:dyDescent="0.35">
      <c r="C1046" s="2"/>
      <c r="D1046" s="3"/>
      <c r="H1046" s="2"/>
      <c r="I1046" s="2"/>
    </row>
    <row r="1047" spans="3:9" x14ac:dyDescent="0.35">
      <c r="C1047" s="2"/>
      <c r="D1047" s="3"/>
      <c r="H1047" s="2"/>
      <c r="I1047" s="2"/>
    </row>
    <row r="1048" spans="3:9" x14ac:dyDescent="0.35">
      <c r="C1048" s="2"/>
      <c r="D1048" s="3"/>
      <c r="H1048" s="2"/>
      <c r="I1048" s="2"/>
    </row>
    <row r="1049" spans="3:9" x14ac:dyDescent="0.35">
      <c r="C1049" s="2"/>
      <c r="D1049" s="3"/>
      <c r="E1049" s="2"/>
      <c r="F1049" s="2"/>
      <c r="G1049" s="2"/>
      <c r="H1049" s="2"/>
      <c r="I1049" s="2"/>
    </row>
    <row r="1050" spans="3:9" x14ac:dyDescent="0.35">
      <c r="C1050" s="2"/>
      <c r="D1050" s="3"/>
      <c r="E1050" s="2"/>
      <c r="F1050" s="2"/>
      <c r="G1050" s="2"/>
      <c r="H1050" s="2"/>
      <c r="I1050" s="2"/>
    </row>
    <row r="1051" spans="3:9" x14ac:dyDescent="0.35">
      <c r="C1051" s="2"/>
      <c r="D1051" s="3"/>
      <c r="E1051" s="2"/>
      <c r="F1051" s="2"/>
      <c r="G1051" s="2"/>
      <c r="H1051" s="2"/>
      <c r="I1051" s="2"/>
    </row>
    <row r="1052" spans="3:9" x14ac:dyDescent="0.35">
      <c r="C1052" s="2"/>
      <c r="D1052" s="3"/>
      <c r="E1052" s="2"/>
      <c r="F1052" s="2"/>
      <c r="G1052" s="2"/>
      <c r="H1052" s="2"/>
    </row>
    <row r="1053" spans="3:9" x14ac:dyDescent="0.35">
      <c r="C1053" s="2"/>
      <c r="D1053" s="3"/>
      <c r="E1053" s="2"/>
      <c r="F1053" s="2"/>
      <c r="G1053" s="2"/>
      <c r="H1053" s="2"/>
      <c r="I1053" s="2"/>
    </row>
    <row r="1054" spans="3:9" x14ac:dyDescent="0.35">
      <c r="C1054" s="2"/>
      <c r="D1054" s="3"/>
      <c r="H1054" s="2"/>
      <c r="I1054" s="2"/>
    </row>
    <row r="1055" spans="3:9" x14ac:dyDescent="0.35">
      <c r="C1055" s="2"/>
      <c r="D1055" s="3"/>
      <c r="H1055" s="2"/>
      <c r="I1055" s="2"/>
    </row>
    <row r="1056" spans="3:9" x14ac:dyDescent="0.35">
      <c r="C1056" s="2"/>
      <c r="D1056" s="3"/>
      <c r="H1056" s="2"/>
      <c r="I1056" s="2"/>
    </row>
    <row r="1057" spans="3:9" x14ac:dyDescent="0.35">
      <c r="C1057" s="2"/>
      <c r="D1057" s="3"/>
      <c r="H1057" s="2"/>
      <c r="I1057" s="2"/>
    </row>
    <row r="1058" spans="3:9" x14ac:dyDescent="0.35">
      <c r="C1058" s="2"/>
      <c r="D1058" s="3"/>
      <c r="H1058" s="2"/>
      <c r="I1058" s="2"/>
    </row>
    <row r="1059" spans="3:9" x14ac:dyDescent="0.35">
      <c r="C1059" s="2"/>
      <c r="D1059" s="3"/>
      <c r="H1059" s="2"/>
      <c r="I1059" s="2"/>
    </row>
    <row r="1060" spans="3:9" x14ac:dyDescent="0.35">
      <c r="C1060" s="2"/>
      <c r="D1060" s="3"/>
      <c r="H1060" s="2"/>
      <c r="I1060" s="2"/>
    </row>
    <row r="1061" spans="3:9" x14ac:dyDescent="0.35">
      <c r="C1061" s="2"/>
      <c r="D1061" s="3"/>
      <c r="H1061" s="2"/>
      <c r="I1061" s="2"/>
    </row>
    <row r="1062" spans="3:9" x14ac:dyDescent="0.35">
      <c r="C1062" s="2"/>
      <c r="D1062" s="3"/>
      <c r="H1062" s="2"/>
      <c r="I1062" s="2"/>
    </row>
    <row r="1063" spans="3:9" x14ac:dyDescent="0.35">
      <c r="C1063" s="2"/>
      <c r="D1063" s="3"/>
      <c r="E1063" s="2"/>
      <c r="F1063" s="2"/>
      <c r="G1063" s="2"/>
      <c r="H1063" s="2"/>
      <c r="I1063" s="2"/>
    </row>
    <row r="1064" spans="3:9" x14ac:dyDescent="0.35">
      <c r="C1064" s="2"/>
      <c r="D1064" s="3"/>
      <c r="E1064" s="2"/>
      <c r="F1064" s="2"/>
      <c r="G1064" s="2"/>
      <c r="H1064" s="2"/>
      <c r="I1064" s="2"/>
    </row>
    <row r="1065" spans="3:9" x14ac:dyDescent="0.35">
      <c r="C1065" s="2"/>
      <c r="D1065" s="3"/>
      <c r="E1065" s="2"/>
      <c r="F1065" s="2"/>
      <c r="G1065" s="2"/>
      <c r="H1065" s="2"/>
      <c r="I1065" s="2"/>
    </row>
    <row r="1066" spans="3:9" x14ac:dyDescent="0.35">
      <c r="C1066" s="2"/>
      <c r="D1066" s="3"/>
      <c r="E1066" s="2"/>
      <c r="F1066" s="2"/>
      <c r="G1066" s="2"/>
      <c r="H1066" s="2"/>
      <c r="I1066" s="2"/>
    </row>
    <row r="1067" spans="3:9" x14ac:dyDescent="0.35">
      <c r="C1067" s="2"/>
      <c r="D1067" s="3"/>
      <c r="E1067" s="2"/>
      <c r="F1067" s="2"/>
      <c r="G1067" s="2"/>
      <c r="H1067" s="2"/>
      <c r="I1067" s="2"/>
    </row>
    <row r="1068" spans="3:9" x14ac:dyDescent="0.35">
      <c r="C1068" s="2"/>
      <c r="D1068" s="3"/>
      <c r="E1068" s="2"/>
      <c r="F1068" s="2"/>
      <c r="G1068" s="2"/>
      <c r="H1068" s="2"/>
      <c r="I1068" s="2"/>
    </row>
    <row r="1069" spans="3:9" x14ac:dyDescent="0.35">
      <c r="C1069" s="2"/>
      <c r="D1069" s="3"/>
      <c r="H1069" s="2"/>
      <c r="I1069" s="2"/>
    </row>
    <row r="1070" spans="3:9" x14ac:dyDescent="0.35">
      <c r="C1070" s="2"/>
      <c r="D1070" s="3"/>
      <c r="H1070" s="2"/>
      <c r="I1070" s="2"/>
    </row>
    <row r="1071" spans="3:9" x14ac:dyDescent="0.35">
      <c r="C1071" s="2"/>
      <c r="D1071" s="3"/>
      <c r="H1071" s="2"/>
      <c r="I1071" s="2"/>
    </row>
    <row r="1072" spans="3:9" x14ac:dyDescent="0.35">
      <c r="C1072" s="2"/>
      <c r="D1072" s="3"/>
      <c r="H1072" s="2"/>
      <c r="I1072" s="2"/>
    </row>
    <row r="1073" spans="3:9" x14ac:dyDescent="0.35">
      <c r="C1073" s="2"/>
      <c r="D1073" s="3"/>
      <c r="H1073" s="2"/>
      <c r="I1073" s="2"/>
    </row>
    <row r="1074" spans="3:9" x14ac:dyDescent="0.35">
      <c r="C1074" s="2"/>
      <c r="D1074" s="3"/>
      <c r="E1074" s="2"/>
      <c r="F1074" s="2"/>
      <c r="G1074" s="2"/>
      <c r="H1074" s="2"/>
    </row>
    <row r="1075" spans="3:9" x14ac:dyDescent="0.35">
      <c r="C1075" s="2"/>
      <c r="D1075" s="3"/>
      <c r="H1075" s="2"/>
      <c r="I1075" s="2"/>
    </row>
    <row r="1076" spans="3:9" x14ac:dyDescent="0.35">
      <c r="C1076" s="2"/>
      <c r="D1076" s="3"/>
      <c r="H1076" s="2"/>
      <c r="I1076" s="2"/>
    </row>
    <row r="1077" spans="3:9" x14ac:dyDescent="0.35">
      <c r="C1077" s="2"/>
      <c r="D1077" s="3"/>
      <c r="H1077" s="2"/>
      <c r="I1077" s="2"/>
    </row>
    <row r="1078" spans="3:9" x14ac:dyDescent="0.35">
      <c r="C1078" s="2"/>
      <c r="D1078" s="3"/>
      <c r="H1078" s="2"/>
      <c r="I1078" s="2"/>
    </row>
    <row r="1079" spans="3:9" x14ac:dyDescent="0.35">
      <c r="C1079" s="2"/>
      <c r="D1079" s="3"/>
      <c r="E1079" s="2"/>
      <c r="F1079" s="2"/>
      <c r="G1079" s="2"/>
      <c r="H1079" s="2"/>
      <c r="I1079" s="2"/>
    </row>
    <row r="1080" spans="3:9" x14ac:dyDescent="0.35">
      <c r="C1080" s="2"/>
      <c r="D1080" s="3"/>
      <c r="E1080" s="2"/>
      <c r="F1080" s="2"/>
      <c r="G1080" s="2"/>
      <c r="H1080" s="2"/>
      <c r="I1080" s="2"/>
    </row>
    <row r="1081" spans="3:9" x14ac:dyDescent="0.35">
      <c r="C1081" s="2"/>
      <c r="D1081" s="3"/>
      <c r="E1081" s="2"/>
      <c r="F1081" s="2"/>
      <c r="G1081" s="2"/>
      <c r="H1081" s="2"/>
      <c r="I1081" s="2"/>
    </row>
    <row r="1082" spans="3:9" x14ac:dyDescent="0.35">
      <c r="C1082" s="2"/>
      <c r="D1082" s="3"/>
      <c r="E1082" s="2"/>
      <c r="F1082" s="2"/>
      <c r="G1082" s="2"/>
      <c r="H1082" s="2"/>
      <c r="I1082" s="2"/>
    </row>
    <row r="1083" spans="3:9" x14ac:dyDescent="0.35">
      <c r="C1083" s="2"/>
      <c r="D1083" s="3"/>
      <c r="E1083" s="2"/>
      <c r="F1083" s="2"/>
      <c r="G1083" s="2"/>
      <c r="H1083" s="2"/>
      <c r="I1083" s="2"/>
    </row>
    <row r="1084" spans="3:9" x14ac:dyDescent="0.35">
      <c r="C1084" s="2"/>
      <c r="D1084" s="3"/>
      <c r="H1084" s="2"/>
      <c r="I1084" s="2"/>
    </row>
    <row r="1085" spans="3:9" x14ac:dyDescent="0.35">
      <c r="C1085" s="2"/>
      <c r="D1085" s="3"/>
      <c r="E1085" s="2"/>
      <c r="F1085" s="2"/>
      <c r="G1085" s="2"/>
      <c r="H1085" s="2"/>
    </row>
    <row r="1086" spans="3:9" x14ac:dyDescent="0.35">
      <c r="C1086" s="2"/>
      <c r="D1086" s="3"/>
      <c r="H1086" s="2"/>
      <c r="I1086" s="2"/>
    </row>
    <row r="1087" spans="3:9" x14ac:dyDescent="0.35">
      <c r="C1087" s="2"/>
      <c r="D1087" s="3"/>
      <c r="H1087" s="2"/>
      <c r="I1087" s="2"/>
    </row>
    <row r="1088" spans="3:9" x14ac:dyDescent="0.35">
      <c r="C1088" s="2"/>
      <c r="D1088" s="3"/>
      <c r="H1088" s="2"/>
    </row>
    <row r="1089" spans="3:9" x14ac:dyDescent="0.35">
      <c r="C1089" s="2"/>
      <c r="D1089" s="3"/>
      <c r="H1089" s="2"/>
    </row>
    <row r="1090" spans="3:9" x14ac:dyDescent="0.35">
      <c r="C1090" s="2"/>
      <c r="D1090" s="3"/>
      <c r="H1090" s="2"/>
    </row>
    <row r="1091" spans="3:9" x14ac:dyDescent="0.35">
      <c r="C1091" s="2"/>
      <c r="D1091" s="3"/>
      <c r="H1091" s="2"/>
    </row>
    <row r="1092" spans="3:9" x14ac:dyDescent="0.35">
      <c r="C1092" s="2"/>
      <c r="D1092" s="3"/>
      <c r="H1092" s="2"/>
      <c r="I1092" s="2"/>
    </row>
    <row r="1093" spans="3:9" x14ac:dyDescent="0.35">
      <c r="C1093" s="2"/>
      <c r="D1093" s="3"/>
      <c r="H1093" s="2"/>
      <c r="I1093" s="2"/>
    </row>
    <row r="1094" spans="3:9" x14ac:dyDescent="0.35">
      <c r="C1094" s="2"/>
      <c r="D1094" s="3"/>
      <c r="E1094" s="2"/>
      <c r="F1094" s="2"/>
      <c r="G1094" s="2"/>
      <c r="I1094" s="2"/>
    </row>
    <row r="1095" spans="3:9" x14ac:dyDescent="0.35">
      <c r="C1095" s="2"/>
      <c r="D1095" s="3"/>
      <c r="E1095" s="2"/>
      <c r="F1095" s="2"/>
      <c r="G1095" s="2"/>
      <c r="H1095" s="2"/>
    </row>
    <row r="1096" spans="3:9" x14ac:dyDescent="0.35">
      <c r="C1096" s="2"/>
      <c r="D1096" s="3"/>
      <c r="E1096" s="2"/>
      <c r="F1096" s="2"/>
      <c r="G1096" s="2"/>
      <c r="H1096" s="2"/>
    </row>
    <row r="1097" spans="3:9" x14ac:dyDescent="0.35">
      <c r="C1097" s="2"/>
      <c r="D1097" s="3"/>
      <c r="E1097" s="2"/>
      <c r="F1097" s="2"/>
      <c r="G1097" s="2"/>
      <c r="H1097" s="2"/>
    </row>
    <row r="1098" spans="3:9" x14ac:dyDescent="0.35">
      <c r="C1098" s="2"/>
      <c r="D1098" s="3"/>
      <c r="E1098" s="2"/>
      <c r="F1098" s="2"/>
      <c r="G1098" s="2"/>
      <c r="H1098" s="2"/>
    </row>
    <row r="1099" spans="3:9" x14ac:dyDescent="0.35">
      <c r="C1099" s="2"/>
      <c r="D1099" s="3"/>
      <c r="H1099" s="2"/>
      <c r="I1099" s="2"/>
    </row>
    <row r="1100" spans="3:9" x14ac:dyDescent="0.35">
      <c r="C1100" s="2"/>
      <c r="D1100" s="3"/>
      <c r="H1100" s="2"/>
      <c r="I1100" s="2"/>
    </row>
    <row r="1101" spans="3:9" x14ac:dyDescent="0.35">
      <c r="C1101" s="2"/>
      <c r="D1101" s="3"/>
      <c r="H1101" s="2"/>
      <c r="I1101" s="2"/>
    </row>
    <row r="1102" spans="3:9" x14ac:dyDescent="0.35">
      <c r="C1102" s="2"/>
      <c r="D1102" s="3"/>
      <c r="H1102" s="2"/>
      <c r="I1102" s="2"/>
    </row>
    <row r="1103" spans="3:9" x14ac:dyDescent="0.35">
      <c r="C1103" s="2"/>
      <c r="D1103" s="3"/>
      <c r="H1103" s="2"/>
      <c r="I1103" s="2"/>
    </row>
    <row r="1104" spans="3:9" x14ac:dyDescent="0.35">
      <c r="C1104" s="2"/>
      <c r="D1104" s="3"/>
      <c r="H1104" s="2"/>
      <c r="I1104" s="2"/>
    </row>
    <row r="1105" spans="3:9" x14ac:dyDescent="0.35">
      <c r="C1105" s="2"/>
      <c r="D1105" s="3"/>
      <c r="H1105" s="2"/>
      <c r="I1105" s="2"/>
    </row>
    <row r="1106" spans="3:9" x14ac:dyDescent="0.35">
      <c r="C1106" s="2"/>
      <c r="D1106" s="3"/>
      <c r="H1106" s="2"/>
      <c r="I1106" s="2"/>
    </row>
    <row r="1107" spans="3:9" x14ac:dyDescent="0.35">
      <c r="C1107" s="2"/>
      <c r="D1107" s="3"/>
      <c r="H1107" s="2"/>
      <c r="I1107" s="2"/>
    </row>
    <row r="1108" spans="3:9" x14ac:dyDescent="0.35">
      <c r="C1108" s="2"/>
      <c r="D1108" s="3"/>
      <c r="H1108" s="2"/>
      <c r="I1108" s="2"/>
    </row>
    <row r="1109" spans="3:9" x14ac:dyDescent="0.35">
      <c r="C1109" s="2"/>
      <c r="D1109" s="3"/>
      <c r="E1109" s="2"/>
      <c r="F1109" s="2"/>
      <c r="G1109" s="2"/>
      <c r="I1109" s="2"/>
    </row>
    <row r="1110" spans="3:9" x14ac:dyDescent="0.35">
      <c r="C1110" s="2"/>
      <c r="D1110" s="3"/>
      <c r="E1110" s="2"/>
      <c r="F1110" s="2"/>
      <c r="G1110" s="2"/>
      <c r="H1110" s="2"/>
    </row>
    <row r="1111" spans="3:9" x14ac:dyDescent="0.35">
      <c r="C1111" s="2"/>
      <c r="D1111" s="3"/>
      <c r="E1111" s="2"/>
      <c r="F1111" s="2"/>
      <c r="G1111" s="2"/>
      <c r="H1111" s="2"/>
    </row>
    <row r="1112" spans="3:9" x14ac:dyDescent="0.35">
      <c r="C1112" s="2"/>
      <c r="D1112" s="3"/>
      <c r="E1112" s="2"/>
      <c r="F1112" s="2"/>
      <c r="G1112" s="2"/>
      <c r="H1112" s="2"/>
    </row>
    <row r="1113" spans="3:9" x14ac:dyDescent="0.35">
      <c r="C1113" s="2"/>
      <c r="D1113" s="3"/>
      <c r="E1113" s="2"/>
      <c r="F1113" s="2"/>
      <c r="G1113" s="2"/>
      <c r="H1113" s="2"/>
    </row>
    <row r="1114" spans="3:9" x14ac:dyDescent="0.35">
      <c r="C1114" s="2"/>
      <c r="D1114" s="3"/>
      <c r="E1114" s="2"/>
      <c r="F1114" s="2"/>
      <c r="G1114" s="2"/>
      <c r="H1114" s="2"/>
    </row>
    <row r="1115" spans="3:9" x14ac:dyDescent="0.35">
      <c r="C1115" s="2"/>
      <c r="D1115" s="3"/>
      <c r="E1115" s="2"/>
      <c r="F1115" s="2"/>
      <c r="G1115" s="2"/>
      <c r="H1115" s="2"/>
    </row>
    <row r="1116" spans="3:9" x14ac:dyDescent="0.35">
      <c r="C1116" s="2"/>
      <c r="D1116" s="3"/>
      <c r="E1116" s="2"/>
      <c r="F1116" s="2"/>
      <c r="G1116" s="2"/>
      <c r="H1116" s="2"/>
    </row>
    <row r="1117" spans="3:9" x14ac:dyDescent="0.35">
      <c r="C1117" s="2"/>
      <c r="D1117" s="3"/>
      <c r="E1117" s="2"/>
      <c r="F1117" s="2"/>
      <c r="G1117" s="2"/>
      <c r="H1117" s="2"/>
    </row>
    <row r="1118" spans="3:9" x14ac:dyDescent="0.35">
      <c r="C1118" s="2"/>
      <c r="D1118" s="3"/>
      <c r="E1118" s="2"/>
      <c r="F1118" s="2"/>
      <c r="G1118" s="2"/>
      <c r="H1118" s="2"/>
    </row>
    <row r="1119" spans="3:9" x14ac:dyDescent="0.35">
      <c r="C1119" s="2"/>
      <c r="D1119" s="3"/>
      <c r="E1119" s="2"/>
      <c r="F1119" s="2"/>
      <c r="G1119" s="2"/>
      <c r="H1119" s="2"/>
      <c r="I1119" s="2"/>
    </row>
    <row r="1120" spans="3:9" x14ac:dyDescent="0.35">
      <c r="C1120" s="2"/>
      <c r="D1120" s="3"/>
      <c r="H1120" s="2"/>
    </row>
    <row r="1121" spans="3:9" x14ac:dyDescent="0.35">
      <c r="C1121" s="2"/>
      <c r="D1121" s="3"/>
      <c r="H1121" s="2"/>
    </row>
    <row r="1122" spans="3:9" x14ac:dyDescent="0.35">
      <c r="C1122" s="2"/>
      <c r="D1122" s="3"/>
      <c r="H1122" s="2"/>
      <c r="I1122" s="2"/>
    </row>
    <row r="1123" spans="3:9" x14ac:dyDescent="0.35">
      <c r="C1123" s="2"/>
      <c r="D1123" s="3"/>
      <c r="H1123" s="2"/>
      <c r="I1123" s="2"/>
    </row>
    <row r="1124" spans="3:9" x14ac:dyDescent="0.35">
      <c r="C1124" s="2"/>
      <c r="D1124" s="3"/>
      <c r="H1124" s="2"/>
    </row>
    <row r="1125" spans="3:9" x14ac:dyDescent="0.35">
      <c r="C1125" s="2"/>
      <c r="D1125" s="3"/>
      <c r="H1125" s="2"/>
    </row>
    <row r="1126" spans="3:9" x14ac:dyDescent="0.35">
      <c r="C1126" s="2"/>
      <c r="D1126" s="3"/>
      <c r="H1126" s="2"/>
    </row>
    <row r="1127" spans="3:9" x14ac:dyDescent="0.35">
      <c r="C1127" s="2"/>
      <c r="D1127" s="3"/>
      <c r="H1127" s="2"/>
    </row>
    <row r="1128" spans="3:9" x14ac:dyDescent="0.35">
      <c r="C1128" s="2"/>
      <c r="D1128" s="3"/>
      <c r="H1128" s="2"/>
      <c r="I1128" s="2"/>
    </row>
    <row r="1129" spans="3:9" x14ac:dyDescent="0.35">
      <c r="C1129" s="2"/>
      <c r="D1129" s="3"/>
      <c r="H1129" s="2"/>
      <c r="I1129" s="2"/>
    </row>
    <row r="1130" spans="3:9" x14ac:dyDescent="0.35">
      <c r="C1130" s="2"/>
      <c r="D1130" s="3"/>
      <c r="E1130" s="2"/>
      <c r="F1130" s="2"/>
      <c r="G1130" s="2"/>
      <c r="I1130" s="2"/>
    </row>
    <row r="1131" spans="3:9" x14ac:dyDescent="0.35">
      <c r="C1131" s="2"/>
      <c r="D1131" s="3"/>
      <c r="E1131" s="2"/>
      <c r="F1131" s="2"/>
      <c r="G1131" s="2"/>
      <c r="H1131" s="2"/>
    </row>
    <row r="1132" spans="3:9" x14ac:dyDescent="0.35">
      <c r="C1132" s="2"/>
      <c r="D1132" s="3"/>
      <c r="E1132" s="2"/>
      <c r="F1132" s="2"/>
      <c r="G1132" s="2"/>
      <c r="H1132" s="2"/>
    </row>
    <row r="1133" spans="3:9" x14ac:dyDescent="0.35">
      <c r="C1133" s="2"/>
      <c r="D1133" s="3"/>
      <c r="E1133" s="2"/>
      <c r="F1133" s="2"/>
      <c r="G1133" s="2"/>
      <c r="H1133" s="2"/>
    </row>
    <row r="1134" spans="3:9" x14ac:dyDescent="0.35">
      <c r="C1134" s="2"/>
      <c r="D1134" s="3"/>
      <c r="E1134" s="2"/>
      <c r="F1134" s="2"/>
      <c r="G1134" s="2"/>
      <c r="H1134" s="2"/>
    </row>
    <row r="1135" spans="3:9" x14ac:dyDescent="0.35">
      <c r="C1135" s="2"/>
      <c r="D1135" s="3"/>
      <c r="H1135" s="2"/>
    </row>
    <row r="1136" spans="3:9" x14ac:dyDescent="0.35">
      <c r="C1136" s="2"/>
      <c r="D1136" s="3"/>
      <c r="H1136" s="2"/>
    </row>
    <row r="1137" spans="3:9" x14ac:dyDescent="0.35">
      <c r="C1137" s="2"/>
      <c r="D1137" s="3"/>
      <c r="H1137" s="2"/>
      <c r="I1137" s="2"/>
    </row>
    <row r="1138" spans="3:9" x14ac:dyDescent="0.35">
      <c r="C1138" s="2"/>
      <c r="D1138" s="3"/>
      <c r="H1138" s="2"/>
      <c r="I1138" s="2"/>
    </row>
    <row r="1139" spans="3:9" x14ac:dyDescent="0.35">
      <c r="C1139" s="2"/>
      <c r="D1139" s="3"/>
      <c r="H1139" s="2"/>
    </row>
    <row r="1140" spans="3:9" x14ac:dyDescent="0.35">
      <c r="C1140" s="2"/>
      <c r="E1140" s="2"/>
      <c r="F1140" s="2"/>
      <c r="G1140" s="2"/>
      <c r="H1140" s="2"/>
      <c r="I1140" s="2"/>
    </row>
    <row r="1141" spans="3:9" x14ac:dyDescent="0.35">
      <c r="C1141" s="2"/>
      <c r="D1141" s="3"/>
      <c r="E1141" s="2"/>
      <c r="G1141" s="2"/>
      <c r="H1141" s="2"/>
    </row>
    <row r="1142" spans="3:9" x14ac:dyDescent="0.35">
      <c r="C1142" s="2"/>
      <c r="D1142" s="3"/>
      <c r="E1142" s="2"/>
      <c r="G1142" s="2"/>
      <c r="H1142" s="2"/>
    </row>
    <row r="1143" spans="3:9" x14ac:dyDescent="0.35">
      <c r="C1143" s="2"/>
      <c r="D1143" s="3"/>
      <c r="E1143" s="2"/>
      <c r="G1143" s="2"/>
      <c r="H1143" s="2"/>
    </row>
    <row r="1144" spans="3:9" x14ac:dyDescent="0.35">
      <c r="C1144" s="2"/>
      <c r="D1144" s="3"/>
      <c r="E1144" s="2"/>
      <c r="G1144" s="2"/>
      <c r="H1144" s="2"/>
      <c r="I1144" s="2"/>
    </row>
    <row r="1145" spans="3:9" x14ac:dyDescent="0.35">
      <c r="C1145" s="2"/>
      <c r="D1145" s="3"/>
      <c r="E1145" s="2"/>
      <c r="G1145" s="2"/>
      <c r="H1145" s="2"/>
      <c r="I1145" s="2"/>
    </row>
    <row r="1146" spans="3:9" x14ac:dyDescent="0.35">
      <c r="C1146" s="2"/>
      <c r="D1146" s="3"/>
      <c r="E1146" s="2"/>
      <c r="F1146" s="2"/>
      <c r="G1146" s="2"/>
      <c r="I1146" s="2"/>
    </row>
    <row r="1147" spans="3:9" x14ac:dyDescent="0.35">
      <c r="C1147" s="2"/>
      <c r="D1147" s="3"/>
      <c r="E1147" s="2"/>
      <c r="F1147" s="2"/>
      <c r="G1147" s="2"/>
      <c r="H1147" s="2"/>
    </row>
    <row r="1148" spans="3:9" x14ac:dyDescent="0.35">
      <c r="C1148" s="2"/>
      <c r="D1148" s="3"/>
      <c r="E1148" s="2"/>
      <c r="F1148" s="2"/>
      <c r="G1148" s="2"/>
      <c r="H1148" s="2"/>
    </row>
    <row r="1149" spans="3:9" x14ac:dyDescent="0.35">
      <c r="C1149" s="2"/>
      <c r="D1149" s="3"/>
      <c r="E1149" s="2"/>
      <c r="F1149" s="2"/>
      <c r="G1149" s="2"/>
      <c r="H1149" s="2"/>
    </row>
    <row r="1150" spans="3:9" x14ac:dyDescent="0.35">
      <c r="C1150" s="2"/>
      <c r="D1150" s="3"/>
      <c r="E1150" s="2"/>
      <c r="F1150" s="2"/>
      <c r="G1150" s="2"/>
      <c r="H1150" s="2"/>
    </row>
    <row r="1151" spans="3:9" x14ac:dyDescent="0.35">
      <c r="C1151" s="2"/>
      <c r="D1151" s="3"/>
      <c r="H1151" s="2"/>
    </row>
    <row r="1152" spans="3:9" x14ac:dyDescent="0.35">
      <c r="C1152" s="2"/>
      <c r="D1152" s="3"/>
      <c r="H1152" s="2"/>
    </row>
    <row r="1153" spans="3:9" x14ac:dyDescent="0.35">
      <c r="C1153" s="2"/>
      <c r="D1153" s="3"/>
      <c r="H1153" s="2"/>
      <c r="I1153" s="2"/>
    </row>
    <row r="1154" spans="3:9" x14ac:dyDescent="0.35">
      <c r="C1154" s="2"/>
      <c r="D1154" s="3"/>
      <c r="H1154" s="2"/>
      <c r="I1154" s="2"/>
    </row>
    <row r="1155" spans="3:9" x14ac:dyDescent="0.35">
      <c r="C1155" s="2"/>
      <c r="D1155" s="3"/>
      <c r="H1155" s="2"/>
    </row>
    <row r="1156" spans="3:9" x14ac:dyDescent="0.35">
      <c r="C1156" s="2"/>
      <c r="D1156" s="3"/>
      <c r="H1156" s="2"/>
    </row>
    <row r="1157" spans="3:9" x14ac:dyDescent="0.35">
      <c r="C1157" s="2"/>
      <c r="D1157" s="3"/>
      <c r="H1157" s="2"/>
    </row>
    <row r="1158" spans="3:9" x14ac:dyDescent="0.35">
      <c r="C1158" s="2"/>
      <c r="D1158" s="3"/>
      <c r="H1158" s="2"/>
    </row>
    <row r="1159" spans="3:9" x14ac:dyDescent="0.35">
      <c r="C1159" s="2"/>
      <c r="D1159" s="3"/>
      <c r="H1159" s="2"/>
      <c r="I1159" s="2"/>
    </row>
    <row r="1160" spans="3:9" x14ac:dyDescent="0.35">
      <c r="C1160" s="2"/>
      <c r="D1160" s="3"/>
      <c r="H1160" s="2"/>
      <c r="I1160" s="2"/>
    </row>
    <row r="1161" spans="3:9" x14ac:dyDescent="0.35">
      <c r="C1161" s="2"/>
      <c r="D1161" s="3"/>
      <c r="E1161" s="2"/>
      <c r="F1161" s="2"/>
      <c r="G1161" s="2"/>
      <c r="I1161" s="2"/>
    </row>
    <row r="1162" spans="3:9" x14ac:dyDescent="0.35">
      <c r="C1162" s="2"/>
      <c r="D1162" s="3"/>
      <c r="E1162" s="2"/>
      <c r="F1162" s="2"/>
      <c r="G1162" s="2"/>
      <c r="H1162" s="2"/>
    </row>
    <row r="1163" spans="3:9" x14ac:dyDescent="0.35">
      <c r="C1163" s="2"/>
      <c r="D1163" s="3"/>
      <c r="E1163" s="2"/>
      <c r="F1163" s="2"/>
      <c r="G1163" s="2"/>
      <c r="H1163" s="2"/>
    </row>
    <row r="1164" spans="3:9" x14ac:dyDescent="0.35">
      <c r="C1164" s="2"/>
      <c r="D1164" s="3"/>
      <c r="E1164" s="2"/>
      <c r="F1164" s="2"/>
      <c r="G1164" s="2"/>
      <c r="H1164" s="2"/>
    </row>
    <row r="1165" spans="3:9" x14ac:dyDescent="0.35">
      <c r="C1165" s="2"/>
      <c r="D1165" s="3"/>
      <c r="E1165" s="2"/>
      <c r="F1165" s="2"/>
      <c r="G1165" s="2"/>
      <c r="H1165" s="2"/>
    </row>
    <row r="1166" spans="3:9" x14ac:dyDescent="0.35">
      <c r="C1166" s="2"/>
      <c r="D1166" s="3"/>
      <c r="H1166" s="2"/>
    </row>
    <row r="1167" spans="3:9" x14ac:dyDescent="0.35">
      <c r="C1167" s="2"/>
      <c r="D1167" s="3"/>
      <c r="H1167" s="2"/>
    </row>
    <row r="1168" spans="3:9" x14ac:dyDescent="0.35">
      <c r="C1168" s="2"/>
      <c r="D1168" s="3"/>
      <c r="H1168" s="2"/>
      <c r="I1168" s="2"/>
    </row>
    <row r="1169" spans="3:9" x14ac:dyDescent="0.35">
      <c r="C1169" s="2"/>
      <c r="D1169" s="3"/>
      <c r="H1169" s="2"/>
      <c r="I1169" s="2"/>
    </row>
    <row r="1170" spans="3:9" x14ac:dyDescent="0.35">
      <c r="C1170" s="2"/>
      <c r="D1170" s="3"/>
      <c r="H1170" s="2"/>
    </row>
    <row r="1171" spans="3:9" x14ac:dyDescent="0.35">
      <c r="C1171" s="2"/>
      <c r="D1171" s="3"/>
      <c r="H1171" s="2"/>
    </row>
    <row r="1172" spans="3:9" x14ac:dyDescent="0.35">
      <c r="C1172" s="2"/>
      <c r="D1172" s="3"/>
      <c r="H1172" s="2"/>
    </row>
    <row r="1173" spans="3:9" x14ac:dyDescent="0.35">
      <c r="C1173" s="2"/>
      <c r="E1173" s="2"/>
      <c r="F1173" s="2"/>
      <c r="G1173" s="2"/>
      <c r="H1173" s="2"/>
      <c r="I1173" s="2"/>
    </row>
    <row r="1174" spans="3:9" x14ac:dyDescent="0.35">
      <c r="C1174" s="2"/>
      <c r="D1174" s="3"/>
      <c r="E1174" s="2"/>
      <c r="F1174" s="2"/>
      <c r="G1174" s="2"/>
      <c r="I1174" s="2"/>
    </row>
    <row r="1175" spans="3:9" x14ac:dyDescent="0.35">
      <c r="C1175" s="2"/>
      <c r="D1175" s="3"/>
      <c r="E1175" s="2"/>
      <c r="F1175" s="2"/>
      <c r="G1175" s="2"/>
      <c r="H1175" s="2"/>
    </row>
    <row r="1176" spans="3:9" x14ac:dyDescent="0.35">
      <c r="C1176" s="2"/>
      <c r="D1176" s="3"/>
      <c r="E1176" s="2"/>
      <c r="F1176" s="2"/>
      <c r="G1176" s="2"/>
      <c r="H1176" s="2"/>
    </row>
    <row r="1177" spans="3:9" x14ac:dyDescent="0.35">
      <c r="C1177" s="2"/>
      <c r="D1177" s="3"/>
      <c r="E1177" s="2"/>
      <c r="F1177" s="2"/>
      <c r="G1177" s="2"/>
      <c r="H1177" s="2"/>
    </row>
    <row r="1178" spans="3:9" x14ac:dyDescent="0.35">
      <c r="C1178" s="2"/>
      <c r="D1178" s="3"/>
      <c r="E1178" s="2"/>
      <c r="F1178" s="2"/>
      <c r="G1178" s="2"/>
      <c r="H1178" s="2"/>
    </row>
    <row r="1179" spans="3:9" x14ac:dyDescent="0.35">
      <c r="C1179" s="2"/>
      <c r="D1179" s="3"/>
      <c r="E1179" s="2"/>
      <c r="F1179" s="2"/>
      <c r="G1179" s="2"/>
      <c r="H1179" s="2"/>
    </row>
    <row r="1180" spans="3:9" x14ac:dyDescent="0.35">
      <c r="C1180" s="2"/>
      <c r="D1180" s="3"/>
      <c r="H1180" s="2"/>
      <c r="I1180" s="2"/>
    </row>
    <row r="1181" spans="3:9" x14ac:dyDescent="0.35">
      <c r="C1181" s="2"/>
      <c r="D1181" s="3"/>
      <c r="H1181" s="2"/>
      <c r="I1181" s="2"/>
    </row>
    <row r="1182" spans="3:9" x14ac:dyDescent="0.35">
      <c r="C1182" s="2"/>
      <c r="D1182" s="3"/>
      <c r="H1182" s="2"/>
      <c r="I1182" s="2"/>
    </row>
    <row r="1183" spans="3:9" x14ac:dyDescent="0.35">
      <c r="C1183" s="2"/>
      <c r="D1183" s="3"/>
      <c r="H1183" s="2"/>
      <c r="I1183" s="2"/>
    </row>
    <row r="1184" spans="3:9" x14ac:dyDescent="0.35">
      <c r="C1184" s="2"/>
      <c r="D1184" s="3"/>
      <c r="H1184" s="2"/>
      <c r="I1184" s="2"/>
    </row>
    <row r="1185" spans="3:9" x14ac:dyDescent="0.35">
      <c r="C1185" s="2"/>
      <c r="D1185" s="3"/>
      <c r="H1185" s="2"/>
      <c r="I1185" s="2"/>
    </row>
    <row r="1186" spans="3:9" x14ac:dyDescent="0.35">
      <c r="C1186" s="2"/>
      <c r="D1186" s="3"/>
      <c r="H1186" s="2"/>
      <c r="I1186" s="2"/>
    </row>
    <row r="1187" spans="3:9" x14ac:dyDescent="0.35">
      <c r="C1187" s="2"/>
      <c r="D1187" s="3"/>
      <c r="H1187" s="2"/>
      <c r="I1187" s="2"/>
    </row>
    <row r="1188" spans="3:9" x14ac:dyDescent="0.35">
      <c r="C1188" s="2"/>
      <c r="D1188" s="3"/>
      <c r="H1188" s="2"/>
      <c r="I1188" s="2"/>
    </row>
    <row r="1189" spans="3:9" x14ac:dyDescent="0.35">
      <c r="C1189" s="2"/>
      <c r="D1189" s="3"/>
      <c r="H1189" s="2"/>
      <c r="I1189" s="2"/>
    </row>
    <row r="1190" spans="3:9" x14ac:dyDescent="0.35">
      <c r="C1190" s="2"/>
      <c r="D1190" s="3"/>
      <c r="E1190" s="2"/>
      <c r="F1190" s="2"/>
      <c r="G1190" s="2"/>
      <c r="I1190" s="2"/>
    </row>
    <row r="1191" spans="3:9" x14ac:dyDescent="0.35">
      <c r="C1191" s="2"/>
      <c r="D1191" s="3"/>
      <c r="E1191" s="2"/>
      <c r="F1191" s="2"/>
      <c r="G1191" s="2"/>
      <c r="H1191" s="2"/>
    </row>
    <row r="1192" spans="3:9" x14ac:dyDescent="0.35">
      <c r="C1192" s="2"/>
      <c r="D1192" s="3"/>
      <c r="E1192" s="2"/>
      <c r="F1192" s="2"/>
      <c r="G1192" s="2"/>
      <c r="H1192" s="2"/>
    </row>
    <row r="1193" spans="3:9" x14ac:dyDescent="0.35">
      <c r="C1193" s="2"/>
      <c r="D1193" s="3"/>
      <c r="E1193" s="2"/>
      <c r="F1193" s="2"/>
      <c r="G1193" s="2"/>
      <c r="H1193" s="2"/>
    </row>
    <row r="1194" spans="3:9" x14ac:dyDescent="0.35">
      <c r="C1194" s="2"/>
      <c r="D1194" s="3"/>
      <c r="E1194" s="2"/>
      <c r="F1194" s="2"/>
      <c r="G1194" s="2"/>
      <c r="H1194" s="2"/>
    </row>
    <row r="1195" spans="3:9" x14ac:dyDescent="0.35">
      <c r="C1195" s="2"/>
      <c r="D1195" s="3"/>
      <c r="E1195" s="2"/>
      <c r="F1195" s="2"/>
      <c r="G1195" s="2"/>
      <c r="H1195" s="2"/>
    </row>
    <row r="1196" spans="3:9" x14ac:dyDescent="0.35">
      <c r="C1196" s="2"/>
      <c r="D1196" s="3"/>
      <c r="E1196" s="2"/>
      <c r="F1196" s="2"/>
      <c r="G1196" s="2"/>
      <c r="H1196" s="2"/>
    </row>
    <row r="1197" spans="3:9" x14ac:dyDescent="0.35">
      <c r="C1197" s="2"/>
      <c r="D1197" s="3"/>
      <c r="E1197" s="2"/>
      <c r="F1197" s="2"/>
      <c r="G1197" s="2"/>
      <c r="H1197" s="2"/>
    </row>
    <row r="1198" spans="3:9" x14ac:dyDescent="0.35">
      <c r="C1198" s="2"/>
      <c r="D1198" s="3"/>
      <c r="E1198" s="2"/>
      <c r="F1198" s="2"/>
      <c r="G1198" s="2"/>
      <c r="H1198" s="2"/>
    </row>
    <row r="1199" spans="3:9" x14ac:dyDescent="0.35">
      <c r="C1199" s="2"/>
      <c r="D1199" s="3"/>
      <c r="E1199" s="2"/>
      <c r="F1199" s="2"/>
      <c r="G1199" s="2"/>
      <c r="H1199" s="2"/>
    </row>
    <row r="1200" spans="3:9" x14ac:dyDescent="0.35">
      <c r="C1200" s="2"/>
      <c r="D1200" s="3"/>
      <c r="E1200" s="2"/>
      <c r="F1200" s="2"/>
      <c r="G1200" s="2"/>
      <c r="H1200" s="2"/>
    </row>
    <row r="1201" spans="3:9" x14ac:dyDescent="0.35">
      <c r="C1201" s="2"/>
      <c r="D1201" s="3"/>
      <c r="H1201" s="2"/>
      <c r="I1201" s="2"/>
    </row>
    <row r="1202" spans="3:9" x14ac:dyDescent="0.35">
      <c r="C1202" s="2"/>
      <c r="D1202" s="3"/>
      <c r="H1202" s="2"/>
      <c r="I1202" s="2"/>
    </row>
    <row r="1203" spans="3:9" x14ac:dyDescent="0.35">
      <c r="C1203" s="2"/>
      <c r="D1203" s="3"/>
      <c r="H1203" s="2"/>
      <c r="I1203" s="2"/>
    </row>
    <row r="1204" spans="3:9" x14ac:dyDescent="0.35">
      <c r="C1204" s="2"/>
      <c r="D1204" s="3"/>
      <c r="H1204" s="2"/>
      <c r="I1204" s="2"/>
    </row>
    <row r="1205" spans="3:9" x14ac:dyDescent="0.35">
      <c r="C1205" s="2"/>
      <c r="D1205" s="3"/>
      <c r="H1205" s="2"/>
      <c r="I1205" s="2"/>
    </row>
    <row r="1206" spans="3:9" x14ac:dyDescent="0.35">
      <c r="C1206" s="2"/>
      <c r="D1206" s="3"/>
      <c r="H1206" s="2"/>
      <c r="I1206" s="2"/>
    </row>
    <row r="1207" spans="3:9" x14ac:dyDescent="0.35">
      <c r="C1207" s="2"/>
      <c r="D1207" s="3"/>
      <c r="H1207" s="2"/>
      <c r="I1207" s="2"/>
    </row>
    <row r="1208" spans="3:9" x14ac:dyDescent="0.35">
      <c r="C1208" s="2"/>
      <c r="D1208" s="3"/>
      <c r="H1208" s="2"/>
      <c r="I1208" s="2"/>
    </row>
    <row r="1209" spans="3:9" x14ac:dyDescent="0.35">
      <c r="C1209" s="2"/>
      <c r="D1209" s="3"/>
      <c r="H1209" s="2"/>
      <c r="I1209" s="2"/>
    </row>
    <row r="1210" spans="3:9" x14ac:dyDescent="0.35">
      <c r="C1210" s="2"/>
      <c r="D1210" s="3"/>
      <c r="H1210" s="2"/>
      <c r="I1210" s="2"/>
    </row>
    <row r="1211" spans="3:9" x14ac:dyDescent="0.35">
      <c r="C1211" s="2"/>
      <c r="D1211" s="3"/>
      <c r="E1211" s="2"/>
      <c r="F1211" s="2"/>
      <c r="G1211" s="2"/>
      <c r="I1211" s="2"/>
    </row>
    <row r="1212" spans="3:9" x14ac:dyDescent="0.35">
      <c r="C1212" s="2"/>
      <c r="D1212" s="3"/>
      <c r="E1212" s="2"/>
      <c r="F1212" s="2"/>
      <c r="G1212" s="2"/>
      <c r="H1212" s="2"/>
    </row>
    <row r="1213" spans="3:9" x14ac:dyDescent="0.35">
      <c r="C1213" s="2"/>
      <c r="D1213" s="3"/>
      <c r="E1213" s="2"/>
      <c r="F1213" s="2"/>
      <c r="G1213" s="2"/>
      <c r="H1213" s="2"/>
    </row>
    <row r="1214" spans="3:9" x14ac:dyDescent="0.35">
      <c r="C1214" s="2"/>
      <c r="D1214" s="3"/>
      <c r="E1214" s="2"/>
      <c r="F1214" s="2"/>
      <c r="G1214" s="2"/>
      <c r="H1214" s="2"/>
    </row>
    <row r="1215" spans="3:9" x14ac:dyDescent="0.35">
      <c r="C1215" s="2"/>
      <c r="D1215" s="3"/>
      <c r="E1215" s="2"/>
      <c r="F1215" s="2"/>
      <c r="G1215" s="2"/>
      <c r="H1215" s="2"/>
    </row>
    <row r="1216" spans="3:9" x14ac:dyDescent="0.35">
      <c r="C1216" s="2"/>
      <c r="D1216" s="3"/>
      <c r="E1216" s="2"/>
      <c r="F1216" s="2"/>
      <c r="G1216" s="2"/>
      <c r="H1216" s="2"/>
    </row>
    <row r="1217" spans="3:9" x14ac:dyDescent="0.35">
      <c r="C1217" s="2"/>
      <c r="D1217" s="3"/>
      <c r="E1217" s="2"/>
      <c r="F1217" s="2"/>
      <c r="G1217" s="2"/>
      <c r="H1217" s="2"/>
    </row>
    <row r="1218" spans="3:9" x14ac:dyDescent="0.35">
      <c r="C1218" s="2"/>
      <c r="D1218" s="3"/>
      <c r="E1218" s="2"/>
      <c r="F1218" s="2"/>
      <c r="G1218" s="2"/>
      <c r="H1218" s="2"/>
    </row>
    <row r="1219" spans="3:9" x14ac:dyDescent="0.35">
      <c r="C1219" s="2"/>
      <c r="D1219" s="3"/>
      <c r="E1219" s="2"/>
      <c r="F1219" s="2"/>
      <c r="G1219" s="2"/>
      <c r="H1219" s="2"/>
      <c r="I1219" s="2"/>
    </row>
    <row r="1220" spans="3:9" x14ac:dyDescent="0.35">
      <c r="C1220" s="2"/>
      <c r="D1220" s="3"/>
      <c r="E1220" s="2"/>
      <c r="F1220" s="2"/>
      <c r="G1220" s="2"/>
      <c r="H1220" s="2"/>
      <c r="I1220" s="2"/>
    </row>
    <row r="1221" spans="3:9" x14ac:dyDescent="0.35">
      <c r="C1221" s="2"/>
      <c r="D1221" s="3"/>
      <c r="E1221" s="2"/>
      <c r="F1221" s="2"/>
      <c r="G1221" s="2"/>
      <c r="H1221" s="2"/>
      <c r="I1221" s="2"/>
    </row>
    <row r="1222" spans="3:9" x14ac:dyDescent="0.35">
      <c r="C1222" s="2"/>
      <c r="D1222" s="3"/>
      <c r="H1222" s="2"/>
      <c r="I1222" s="2"/>
    </row>
    <row r="1223" spans="3:9" x14ac:dyDescent="0.35">
      <c r="C1223" s="2"/>
      <c r="D1223" s="3"/>
      <c r="H1223" s="2"/>
      <c r="I1223" s="2"/>
    </row>
    <row r="1224" spans="3:9" x14ac:dyDescent="0.35">
      <c r="C1224" s="2"/>
      <c r="D1224" s="3"/>
      <c r="H1224" s="2"/>
      <c r="I1224" s="2"/>
    </row>
    <row r="1225" spans="3:9" x14ac:dyDescent="0.35">
      <c r="C1225" s="2"/>
      <c r="D1225" s="3"/>
      <c r="H1225" s="2"/>
      <c r="I1225" s="2"/>
    </row>
    <row r="1226" spans="3:9" x14ac:dyDescent="0.35">
      <c r="C1226" s="2"/>
      <c r="D1226" s="3"/>
      <c r="H1226" s="2"/>
      <c r="I1226" s="2"/>
    </row>
    <row r="1227" spans="3:9" x14ac:dyDescent="0.35">
      <c r="C1227" s="2"/>
      <c r="D1227" s="3"/>
      <c r="H1227" s="2"/>
      <c r="I1227" s="2"/>
    </row>
    <row r="1228" spans="3:9" x14ac:dyDescent="0.35">
      <c r="C1228" s="2"/>
      <c r="D1228" s="3"/>
      <c r="H1228" s="2"/>
      <c r="I1228" s="2"/>
    </row>
    <row r="1229" spans="3:9" x14ac:dyDescent="0.35">
      <c r="C1229" s="2"/>
      <c r="D1229" s="3"/>
      <c r="H1229" s="2"/>
      <c r="I1229" s="2"/>
    </row>
    <row r="1230" spans="3:9" x14ac:dyDescent="0.35">
      <c r="C1230" s="2"/>
      <c r="D1230" s="3"/>
      <c r="H1230" s="2"/>
      <c r="I1230" s="2"/>
    </row>
    <row r="1231" spans="3:9" x14ac:dyDescent="0.35">
      <c r="C1231" s="2"/>
      <c r="D1231" s="3"/>
      <c r="H1231" s="2"/>
      <c r="I1231" s="2"/>
    </row>
    <row r="1232" spans="3:9" x14ac:dyDescent="0.35">
      <c r="C1232" s="2"/>
      <c r="D1232" s="3"/>
      <c r="E1232" s="2"/>
      <c r="F1232" s="2"/>
      <c r="G1232" s="2"/>
      <c r="I1232" s="2"/>
    </row>
    <row r="1233" spans="3:9" x14ac:dyDescent="0.35">
      <c r="C1233" s="2"/>
      <c r="D1233" s="3"/>
      <c r="E1233" s="2"/>
      <c r="F1233" s="2"/>
      <c r="G1233" s="2"/>
      <c r="H1233" s="2"/>
    </row>
    <row r="1234" spans="3:9" x14ac:dyDescent="0.35">
      <c r="C1234" s="2"/>
      <c r="D1234" s="3"/>
      <c r="E1234" s="2"/>
      <c r="F1234" s="2"/>
      <c r="G1234" s="2"/>
      <c r="H1234" s="2"/>
    </row>
    <row r="1235" spans="3:9" x14ac:dyDescent="0.35">
      <c r="C1235" s="2"/>
      <c r="D1235" s="3"/>
      <c r="E1235" s="2"/>
      <c r="F1235" s="2"/>
      <c r="G1235" s="2"/>
      <c r="H1235" s="2"/>
    </row>
    <row r="1236" spans="3:9" x14ac:dyDescent="0.35">
      <c r="C1236" s="2"/>
      <c r="D1236" s="3"/>
      <c r="E1236" s="2"/>
      <c r="F1236" s="2"/>
      <c r="G1236" s="2"/>
      <c r="H1236" s="2"/>
    </row>
    <row r="1237" spans="3:9" x14ac:dyDescent="0.35">
      <c r="C1237" s="2"/>
      <c r="D1237" s="3"/>
      <c r="E1237" s="2"/>
      <c r="F1237" s="2"/>
      <c r="G1237" s="2"/>
      <c r="H1237" s="2"/>
    </row>
    <row r="1238" spans="3:9" x14ac:dyDescent="0.35">
      <c r="C1238" s="2"/>
      <c r="D1238" s="3"/>
      <c r="E1238" s="2"/>
      <c r="F1238" s="2"/>
      <c r="G1238" s="2"/>
      <c r="H1238" s="2"/>
    </row>
    <row r="1239" spans="3:9" x14ac:dyDescent="0.35">
      <c r="C1239" s="2"/>
      <c r="D1239" s="3"/>
      <c r="E1239" s="2"/>
      <c r="F1239" s="2"/>
      <c r="G1239" s="2"/>
      <c r="H1239" s="2"/>
    </row>
    <row r="1240" spans="3:9" x14ac:dyDescent="0.35">
      <c r="C1240" s="2"/>
      <c r="D1240" s="3"/>
      <c r="E1240" s="2"/>
      <c r="F1240" s="2"/>
      <c r="G1240" s="2"/>
      <c r="H1240" s="2"/>
    </row>
    <row r="1241" spans="3:9" x14ac:dyDescent="0.35">
      <c r="C1241" s="2"/>
      <c r="D1241" s="3"/>
      <c r="E1241" s="2"/>
      <c r="F1241" s="2"/>
      <c r="G1241" s="2"/>
      <c r="H1241" s="2"/>
    </row>
    <row r="1242" spans="3:9" x14ac:dyDescent="0.35">
      <c r="C1242" s="2"/>
      <c r="D1242" s="3"/>
      <c r="E1242" s="2"/>
      <c r="F1242" s="2"/>
      <c r="G1242" s="2"/>
      <c r="H1242" s="2"/>
    </row>
    <row r="1243" spans="3:9" x14ac:dyDescent="0.35">
      <c r="C1243" s="2"/>
      <c r="D1243" s="3"/>
      <c r="H1243" s="2"/>
    </row>
    <row r="1244" spans="3:9" x14ac:dyDescent="0.35">
      <c r="C1244" s="2"/>
      <c r="D1244" s="3"/>
      <c r="H1244" s="2"/>
    </row>
    <row r="1245" spans="3:9" x14ac:dyDescent="0.35">
      <c r="C1245" s="2"/>
      <c r="D1245" s="3"/>
      <c r="H1245" s="2"/>
      <c r="I1245" s="2"/>
    </row>
    <row r="1246" spans="3:9" x14ac:dyDescent="0.35">
      <c r="C1246" s="2"/>
      <c r="D1246" s="3"/>
      <c r="H1246" s="2"/>
      <c r="I1246" s="2"/>
    </row>
    <row r="1247" spans="3:9" x14ac:dyDescent="0.35">
      <c r="C1247" s="2"/>
      <c r="D1247" s="3"/>
      <c r="H1247" s="2"/>
    </row>
    <row r="1248" spans="3:9" x14ac:dyDescent="0.35">
      <c r="C1248" s="2"/>
      <c r="D1248" s="3"/>
      <c r="H1248" s="2"/>
    </row>
    <row r="1249" spans="3:9" x14ac:dyDescent="0.35">
      <c r="C1249" s="2"/>
      <c r="D1249" s="3"/>
      <c r="H1249" s="2"/>
    </row>
    <row r="1250" spans="3:9" x14ac:dyDescent="0.35">
      <c r="C1250" s="2"/>
      <c r="D1250" s="3"/>
      <c r="H1250" s="2"/>
    </row>
    <row r="1251" spans="3:9" x14ac:dyDescent="0.35">
      <c r="C1251" s="2"/>
      <c r="D1251" s="3"/>
      <c r="H1251" s="2"/>
      <c r="I1251" s="2"/>
    </row>
    <row r="1252" spans="3:9" x14ac:dyDescent="0.35">
      <c r="C1252" s="2"/>
      <c r="D1252" s="3"/>
      <c r="H1252" s="2"/>
      <c r="I1252" s="2"/>
    </row>
    <row r="1253" spans="3:9" x14ac:dyDescent="0.35">
      <c r="C1253" s="2"/>
      <c r="D1253" s="3"/>
      <c r="E1253" s="2"/>
      <c r="F1253" s="2"/>
      <c r="G1253" s="2"/>
      <c r="I1253" s="2"/>
    </row>
    <row r="1254" spans="3:9" x14ac:dyDescent="0.35">
      <c r="C1254" s="2"/>
      <c r="D1254" s="3"/>
      <c r="E1254" s="2"/>
      <c r="F1254" s="2"/>
      <c r="G1254" s="2"/>
      <c r="H1254" s="2"/>
    </row>
    <row r="1255" spans="3:9" x14ac:dyDescent="0.35">
      <c r="C1255" s="2"/>
      <c r="D1255" s="3"/>
      <c r="E1255" s="2"/>
      <c r="F1255" s="2"/>
      <c r="G1255" s="2"/>
      <c r="H1255" s="2"/>
    </row>
    <row r="1256" spans="3:9" x14ac:dyDescent="0.35">
      <c r="C1256" s="2"/>
      <c r="D1256" s="3"/>
      <c r="E1256" s="2"/>
      <c r="F1256" s="2"/>
      <c r="G1256" s="2"/>
      <c r="H1256" s="2"/>
    </row>
    <row r="1257" spans="3:9" x14ac:dyDescent="0.35">
      <c r="C1257" s="2"/>
      <c r="D1257" s="3"/>
      <c r="E1257" s="2"/>
      <c r="F1257" s="2"/>
      <c r="G1257" s="2"/>
      <c r="H1257" s="2"/>
    </row>
    <row r="1258" spans="3:9" x14ac:dyDescent="0.35">
      <c r="C1258" s="2"/>
      <c r="D1258" s="3"/>
      <c r="H1258" s="2"/>
      <c r="I1258" s="2"/>
    </row>
    <row r="1259" spans="3:9" x14ac:dyDescent="0.35">
      <c r="C1259" s="2"/>
      <c r="D1259" s="3"/>
      <c r="H1259" s="2"/>
      <c r="I1259" s="2"/>
    </row>
    <row r="1260" spans="3:9" x14ac:dyDescent="0.35">
      <c r="C1260" s="2"/>
      <c r="D1260" s="3"/>
      <c r="H1260" s="2"/>
      <c r="I1260" s="2"/>
    </row>
    <row r="1261" spans="3:9" x14ac:dyDescent="0.35">
      <c r="C1261" s="2"/>
      <c r="D1261" s="3"/>
      <c r="H1261" s="2"/>
      <c r="I1261" s="2"/>
    </row>
    <row r="1262" spans="3:9" x14ac:dyDescent="0.35">
      <c r="C1262" s="2"/>
      <c r="D1262" s="3"/>
      <c r="H1262" s="2"/>
      <c r="I1262" s="2"/>
    </row>
    <row r="1263" spans="3:9" x14ac:dyDescent="0.35">
      <c r="C1263" s="2"/>
      <c r="D1263" s="3"/>
      <c r="H1263" s="2"/>
      <c r="I1263" s="2"/>
    </row>
    <row r="1264" spans="3:9" x14ac:dyDescent="0.35">
      <c r="C1264" s="2"/>
      <c r="D1264" s="3"/>
      <c r="H1264" s="2"/>
      <c r="I1264" s="2"/>
    </row>
    <row r="1265" spans="3:9" x14ac:dyDescent="0.35">
      <c r="C1265" s="2"/>
      <c r="D1265" s="3"/>
      <c r="H1265" s="2"/>
      <c r="I1265" s="2"/>
    </row>
    <row r="1266" spans="3:9" x14ac:dyDescent="0.35">
      <c r="C1266" s="2"/>
      <c r="D1266" s="3"/>
      <c r="H1266" s="2"/>
      <c r="I1266" s="2"/>
    </row>
    <row r="1267" spans="3:9" x14ac:dyDescent="0.35">
      <c r="C1267" s="2"/>
      <c r="D1267" s="3"/>
      <c r="H1267" s="2"/>
      <c r="I1267" s="2"/>
    </row>
    <row r="1268" spans="3:9" x14ac:dyDescent="0.35">
      <c r="C1268" s="2"/>
      <c r="D1268" s="3"/>
      <c r="E1268" s="2"/>
      <c r="F1268" s="2"/>
      <c r="G1268" s="2"/>
      <c r="I1268" s="2"/>
    </row>
    <row r="1269" spans="3:9" x14ac:dyDescent="0.35">
      <c r="C1269" s="2"/>
      <c r="D1269" s="3"/>
      <c r="E1269" s="2"/>
      <c r="F1269" s="2"/>
      <c r="G1269" s="2"/>
      <c r="H1269" s="2"/>
    </row>
    <row r="1270" spans="3:9" x14ac:dyDescent="0.35">
      <c r="C1270" s="2"/>
      <c r="D1270" s="3"/>
      <c r="E1270" s="2"/>
      <c r="F1270" s="2"/>
      <c r="G1270" s="2"/>
      <c r="H1270" s="2"/>
    </row>
    <row r="1271" spans="3:9" x14ac:dyDescent="0.35">
      <c r="C1271" s="2"/>
      <c r="D1271" s="3"/>
      <c r="E1271" s="2"/>
      <c r="F1271" s="2"/>
      <c r="G1271" s="2"/>
      <c r="H1271" s="2"/>
    </row>
    <row r="1272" spans="3:9" x14ac:dyDescent="0.35">
      <c r="C1272" s="2"/>
      <c r="D1272" s="3"/>
      <c r="E1272" s="2"/>
      <c r="F1272" s="2"/>
      <c r="G1272" s="2"/>
      <c r="H1272" s="2"/>
    </row>
    <row r="1273" spans="3:9" x14ac:dyDescent="0.35">
      <c r="C1273" s="2"/>
      <c r="D1273" s="3"/>
      <c r="E1273" s="2"/>
      <c r="F1273" s="2"/>
      <c r="G1273" s="2"/>
      <c r="H1273" s="2"/>
    </row>
    <row r="1274" spans="3:9" x14ac:dyDescent="0.35">
      <c r="C1274" s="2"/>
      <c r="D1274" s="3"/>
      <c r="E1274" s="2"/>
      <c r="F1274" s="2"/>
      <c r="G1274" s="2"/>
      <c r="H1274" s="2"/>
    </row>
    <row r="1275" spans="3:9" x14ac:dyDescent="0.35">
      <c r="C1275" s="2"/>
      <c r="D1275" s="3"/>
      <c r="E1275" s="2"/>
      <c r="F1275" s="2"/>
      <c r="G1275" s="2"/>
      <c r="H1275" s="2"/>
    </row>
    <row r="1276" spans="3:9" x14ac:dyDescent="0.35">
      <c r="C1276" s="2"/>
      <c r="D1276" s="3"/>
      <c r="E1276" s="2"/>
      <c r="F1276" s="2"/>
      <c r="G1276" s="2"/>
      <c r="H1276" s="2"/>
    </row>
    <row r="1277" spans="3:9" x14ac:dyDescent="0.35">
      <c r="C1277" s="2"/>
      <c r="D1277" s="3"/>
      <c r="E1277" s="2"/>
      <c r="F1277" s="2"/>
      <c r="G1277" s="2"/>
      <c r="H1277" s="2"/>
    </row>
    <row r="1278" spans="3:9" x14ac:dyDescent="0.35">
      <c r="C1278" s="2"/>
      <c r="D1278" s="3"/>
      <c r="E1278" s="2"/>
      <c r="F1278" s="2"/>
      <c r="G1278" s="2"/>
      <c r="H1278" s="2"/>
    </row>
    <row r="1279" spans="3:9" x14ac:dyDescent="0.35">
      <c r="C1279" s="2"/>
      <c r="D1279" s="3"/>
      <c r="H1279" s="2"/>
    </row>
    <row r="1280" spans="3:9" x14ac:dyDescent="0.35">
      <c r="C1280" s="2"/>
      <c r="D1280" s="3"/>
      <c r="H1280" s="2"/>
    </row>
    <row r="1281" spans="3:9" x14ac:dyDescent="0.35">
      <c r="C1281" s="2"/>
      <c r="D1281" s="3"/>
      <c r="H1281" s="2"/>
      <c r="I1281" s="2"/>
    </row>
    <row r="1282" spans="3:9" x14ac:dyDescent="0.35">
      <c r="C1282" s="2"/>
      <c r="D1282" s="3"/>
      <c r="H1282" s="2"/>
      <c r="I1282" s="2"/>
    </row>
    <row r="1283" spans="3:9" x14ac:dyDescent="0.35">
      <c r="C1283" s="2"/>
      <c r="D1283" s="3"/>
      <c r="H1283" s="2"/>
    </row>
    <row r="1284" spans="3:9" x14ac:dyDescent="0.35">
      <c r="C1284" s="2"/>
      <c r="D1284" s="3"/>
      <c r="H1284" s="2"/>
    </row>
    <row r="1285" spans="3:9" x14ac:dyDescent="0.35">
      <c r="C1285" s="2"/>
      <c r="D1285" s="3"/>
      <c r="H1285" s="2"/>
    </row>
    <row r="1286" spans="3:9" x14ac:dyDescent="0.35">
      <c r="C1286" s="2"/>
      <c r="D1286" s="3"/>
      <c r="H1286" s="2"/>
    </row>
    <row r="1287" spans="3:9" x14ac:dyDescent="0.35">
      <c r="C1287" s="2"/>
      <c r="D1287" s="3"/>
      <c r="H1287" s="2"/>
      <c r="I1287" s="2"/>
    </row>
    <row r="1288" spans="3:9" x14ac:dyDescent="0.35">
      <c r="C1288" s="2"/>
      <c r="D1288" s="3"/>
      <c r="H1288" s="2"/>
      <c r="I1288" s="2"/>
    </row>
    <row r="1289" spans="3:9" x14ac:dyDescent="0.35">
      <c r="C1289" s="2"/>
      <c r="D1289" s="3"/>
      <c r="E1289" s="2"/>
      <c r="F1289" s="2"/>
      <c r="G1289" s="2"/>
      <c r="I1289" s="2"/>
    </row>
    <row r="1290" spans="3:9" x14ac:dyDescent="0.35">
      <c r="C1290" s="2"/>
      <c r="D1290" s="3"/>
      <c r="E1290" s="2"/>
      <c r="F1290" s="2"/>
      <c r="G1290" s="2"/>
      <c r="H1290" s="2"/>
    </row>
    <row r="1291" spans="3:9" x14ac:dyDescent="0.35">
      <c r="C1291" s="2"/>
      <c r="D1291" s="3"/>
      <c r="E1291" s="2"/>
      <c r="F1291" s="2"/>
      <c r="G1291" s="2"/>
      <c r="H1291" s="2"/>
    </row>
    <row r="1292" spans="3:9" x14ac:dyDescent="0.35">
      <c r="C1292" s="2"/>
      <c r="D1292" s="3"/>
      <c r="E1292" s="2"/>
      <c r="F1292" s="2"/>
      <c r="G1292" s="2"/>
      <c r="H1292" s="2"/>
    </row>
    <row r="1293" spans="3:9" x14ac:dyDescent="0.35">
      <c r="C1293" s="2"/>
      <c r="D1293" s="3"/>
      <c r="E1293" s="2"/>
      <c r="F1293" s="2"/>
      <c r="G1293" s="2"/>
      <c r="H1293" s="2"/>
    </row>
    <row r="1294" spans="3:9" x14ac:dyDescent="0.35">
      <c r="C1294" s="2"/>
      <c r="D1294" s="3"/>
      <c r="H1294" s="2"/>
    </row>
    <row r="1295" spans="3:9" x14ac:dyDescent="0.35">
      <c r="C1295" s="2"/>
      <c r="D1295" s="3"/>
      <c r="H1295" s="2"/>
    </row>
    <row r="1296" spans="3:9" x14ac:dyDescent="0.35">
      <c r="C1296" s="2"/>
      <c r="D1296" s="3"/>
      <c r="H1296" s="2"/>
      <c r="I1296" s="2"/>
    </row>
    <row r="1297" spans="3:9" x14ac:dyDescent="0.35">
      <c r="C1297" s="2"/>
      <c r="D1297" s="3"/>
      <c r="H1297" s="2"/>
      <c r="I1297" s="2"/>
    </row>
    <row r="1298" spans="3:9" x14ac:dyDescent="0.35">
      <c r="C1298" s="2"/>
      <c r="D1298" s="3"/>
      <c r="H1298" s="2"/>
    </row>
    <row r="1299" spans="3:9" x14ac:dyDescent="0.35">
      <c r="C1299" s="2"/>
      <c r="D1299" s="3"/>
      <c r="H1299" s="2"/>
    </row>
    <row r="1300" spans="3:9" x14ac:dyDescent="0.35">
      <c r="C1300" s="2"/>
      <c r="D1300" s="3"/>
      <c r="H1300" s="2"/>
    </row>
    <row r="1301" spans="3:9" x14ac:dyDescent="0.35">
      <c r="C1301" s="2"/>
      <c r="D1301" s="3"/>
      <c r="H1301" s="2"/>
    </row>
    <row r="1302" spans="3:9" x14ac:dyDescent="0.35">
      <c r="C1302" s="2"/>
      <c r="D1302" s="3"/>
      <c r="H1302" s="2"/>
      <c r="I1302" s="2"/>
    </row>
    <row r="1303" spans="3:9" x14ac:dyDescent="0.35">
      <c r="C1303" s="2"/>
      <c r="D1303" s="3"/>
      <c r="H1303" s="2"/>
      <c r="I1303" s="2"/>
    </row>
    <row r="1304" spans="3:9" x14ac:dyDescent="0.35">
      <c r="C1304" s="2"/>
      <c r="D1304" s="3"/>
      <c r="E1304" s="2"/>
      <c r="F1304" s="2"/>
      <c r="G1304" s="2"/>
      <c r="I1304" s="2"/>
    </row>
    <row r="1305" spans="3:9" x14ac:dyDescent="0.35">
      <c r="C1305" s="2"/>
      <c r="D1305" s="3"/>
      <c r="E1305" s="2"/>
      <c r="F1305" s="2"/>
      <c r="G1305" s="2"/>
      <c r="H1305" s="2"/>
    </row>
    <row r="1306" spans="3:9" x14ac:dyDescent="0.35">
      <c r="C1306" s="2"/>
      <c r="D1306" s="3"/>
      <c r="E1306" s="2"/>
      <c r="F1306" s="2"/>
      <c r="G1306" s="2"/>
      <c r="H1306" s="2"/>
    </row>
    <row r="1307" spans="3:9" x14ac:dyDescent="0.35">
      <c r="C1307" s="2"/>
      <c r="D1307" s="3"/>
      <c r="E1307" s="2"/>
      <c r="F1307" s="2"/>
      <c r="G1307" s="2"/>
      <c r="H1307" s="2"/>
    </row>
    <row r="1308" spans="3:9" x14ac:dyDescent="0.35">
      <c r="C1308" s="2"/>
      <c r="D1308" s="3"/>
      <c r="E1308" s="2"/>
      <c r="F1308" s="2"/>
      <c r="G1308" s="2"/>
      <c r="H1308" s="2"/>
    </row>
    <row r="1309" spans="3:9" x14ac:dyDescent="0.35">
      <c r="C1309" s="2"/>
      <c r="D1309" s="3"/>
      <c r="H1309" s="2"/>
    </row>
    <row r="1310" spans="3:9" x14ac:dyDescent="0.35">
      <c r="C1310" s="2"/>
      <c r="D1310" s="3"/>
      <c r="H1310" s="2"/>
    </row>
    <row r="1311" spans="3:9" x14ac:dyDescent="0.35">
      <c r="C1311" s="2"/>
      <c r="D1311" s="3"/>
      <c r="H1311" s="2"/>
      <c r="I1311" s="2"/>
    </row>
    <row r="1312" spans="3:9" x14ac:dyDescent="0.35">
      <c r="C1312" s="2"/>
      <c r="D1312" s="3"/>
      <c r="H1312" s="2"/>
      <c r="I1312" s="2"/>
    </row>
    <row r="1313" spans="3:9" x14ac:dyDescent="0.35">
      <c r="C1313" s="2"/>
      <c r="D1313" s="3"/>
      <c r="H1313" s="2"/>
    </row>
    <row r="1314" spans="3:9" x14ac:dyDescent="0.35">
      <c r="C1314" s="2"/>
      <c r="D1314" s="3"/>
      <c r="H1314" s="2"/>
    </row>
    <row r="1315" spans="3:9" x14ac:dyDescent="0.35">
      <c r="C1315" s="2"/>
      <c r="D1315" s="3"/>
      <c r="H1315" s="2"/>
    </row>
    <row r="1316" spans="3:9" x14ac:dyDescent="0.35">
      <c r="C1316" s="2"/>
      <c r="D1316" s="3"/>
      <c r="H1316" s="2"/>
    </row>
    <row r="1317" spans="3:9" x14ac:dyDescent="0.35">
      <c r="C1317" s="2"/>
      <c r="D1317" s="3"/>
      <c r="H1317" s="2"/>
      <c r="I1317" s="2"/>
    </row>
    <row r="1318" spans="3:9" x14ac:dyDescent="0.35">
      <c r="C1318" s="2"/>
      <c r="D1318" s="3"/>
      <c r="H1318" s="2"/>
      <c r="I1318" s="2"/>
    </row>
    <row r="1319" spans="3:9" x14ac:dyDescent="0.35">
      <c r="C1319" s="2"/>
      <c r="D1319" s="3"/>
      <c r="E1319" s="2"/>
      <c r="F1319" s="2"/>
      <c r="G1319" s="2"/>
      <c r="I1319" s="2"/>
    </row>
    <row r="1320" spans="3:9" x14ac:dyDescent="0.35">
      <c r="C1320" s="2"/>
      <c r="D1320" s="3"/>
      <c r="E1320" s="2"/>
      <c r="F1320" s="2"/>
      <c r="G1320" s="2"/>
      <c r="H1320" s="2"/>
    </row>
    <row r="1321" spans="3:9" x14ac:dyDescent="0.35">
      <c r="C1321" s="2"/>
      <c r="D1321" s="3"/>
      <c r="E1321" s="2"/>
      <c r="F1321" s="2"/>
      <c r="G1321" s="2"/>
      <c r="H1321" s="2"/>
    </row>
    <row r="1322" spans="3:9" x14ac:dyDescent="0.35">
      <c r="C1322" s="2"/>
      <c r="D1322" s="3"/>
      <c r="E1322" s="2"/>
      <c r="F1322" s="2"/>
      <c r="G1322" s="2"/>
      <c r="H1322" s="2"/>
    </row>
    <row r="1323" spans="3:9" x14ac:dyDescent="0.35">
      <c r="C1323" s="2"/>
      <c r="D1323" s="3"/>
      <c r="E1323" s="2"/>
      <c r="F1323" s="2"/>
      <c r="G1323" s="2"/>
      <c r="H1323" s="2"/>
    </row>
    <row r="1324" spans="3:9" x14ac:dyDescent="0.35">
      <c r="C1324" s="2"/>
      <c r="D1324" s="3"/>
      <c r="H1324" s="2"/>
      <c r="I1324" s="2"/>
    </row>
    <row r="1325" spans="3:9" x14ac:dyDescent="0.35">
      <c r="C1325" s="2"/>
      <c r="D1325" s="3"/>
      <c r="H1325" s="2"/>
      <c r="I1325" s="2"/>
    </row>
    <row r="1326" spans="3:9" x14ac:dyDescent="0.35">
      <c r="C1326" s="2"/>
      <c r="D1326" s="3"/>
      <c r="H1326" s="2"/>
      <c r="I1326" s="2"/>
    </row>
    <row r="1327" spans="3:9" x14ac:dyDescent="0.35">
      <c r="C1327" s="2"/>
      <c r="D1327" s="3"/>
      <c r="H1327" s="2"/>
      <c r="I1327" s="2"/>
    </row>
    <row r="1328" spans="3:9" x14ac:dyDescent="0.35">
      <c r="C1328" s="2"/>
      <c r="D1328" s="3"/>
      <c r="H1328" s="2"/>
      <c r="I1328" s="2"/>
    </row>
    <row r="1329" spans="3:9" x14ac:dyDescent="0.35">
      <c r="C1329" s="2"/>
      <c r="D1329" s="3"/>
      <c r="H1329" s="2"/>
      <c r="I1329" s="2"/>
    </row>
    <row r="1330" spans="3:9" x14ac:dyDescent="0.35">
      <c r="C1330" s="2"/>
      <c r="D1330" s="3"/>
      <c r="H1330" s="2"/>
      <c r="I1330" s="2"/>
    </row>
    <row r="1331" spans="3:9" x14ac:dyDescent="0.35">
      <c r="C1331" s="2"/>
      <c r="D1331" s="3"/>
      <c r="H1331" s="2"/>
      <c r="I1331" s="2"/>
    </row>
    <row r="1332" spans="3:9" x14ac:dyDescent="0.35">
      <c r="C1332" s="2"/>
      <c r="D1332" s="3"/>
      <c r="H1332" s="2"/>
      <c r="I1332" s="2"/>
    </row>
    <row r="1333" spans="3:9" x14ac:dyDescent="0.35">
      <c r="C1333" s="2"/>
      <c r="D1333" s="3"/>
      <c r="H1333" s="2"/>
      <c r="I1333" s="2"/>
    </row>
    <row r="1334" spans="3:9" x14ac:dyDescent="0.35">
      <c r="C1334" s="2"/>
      <c r="D1334" s="3"/>
      <c r="E1334" s="2"/>
      <c r="F1334" s="2"/>
      <c r="G1334" s="2"/>
      <c r="I1334" s="2"/>
    </row>
    <row r="1335" spans="3:9" x14ac:dyDescent="0.35">
      <c r="C1335" s="2"/>
      <c r="D1335" s="3"/>
      <c r="E1335" s="2"/>
      <c r="F1335" s="2"/>
      <c r="G1335" s="2"/>
      <c r="H1335" s="2"/>
    </row>
    <row r="1336" spans="3:9" x14ac:dyDescent="0.35">
      <c r="C1336" s="2"/>
      <c r="D1336" s="3"/>
      <c r="E1336" s="2"/>
      <c r="F1336" s="2"/>
      <c r="G1336" s="2"/>
      <c r="H1336" s="2"/>
    </row>
    <row r="1337" spans="3:9" x14ac:dyDescent="0.35">
      <c r="C1337" s="2"/>
      <c r="D1337" s="3"/>
      <c r="E1337" s="2"/>
      <c r="F1337" s="2"/>
      <c r="G1337" s="2"/>
      <c r="H1337" s="2"/>
    </row>
    <row r="1338" spans="3:9" x14ac:dyDescent="0.35">
      <c r="C1338" s="2"/>
      <c r="D1338" s="3"/>
      <c r="E1338" s="2"/>
      <c r="F1338" s="2"/>
      <c r="G1338" s="2"/>
      <c r="H1338" s="2"/>
    </row>
    <row r="1339" spans="3:9" x14ac:dyDescent="0.35">
      <c r="C1339" s="2"/>
      <c r="D1339" s="3"/>
      <c r="E1339" s="2"/>
      <c r="F1339" s="2"/>
      <c r="G1339" s="2"/>
      <c r="H1339" s="2"/>
    </row>
    <row r="1340" spans="3:9" x14ac:dyDescent="0.35">
      <c r="C1340" s="2"/>
      <c r="D1340" s="3"/>
      <c r="E1340" s="2"/>
      <c r="F1340" s="2"/>
      <c r="G1340" s="2"/>
      <c r="H1340" s="2"/>
    </row>
    <row r="1341" spans="3:9" x14ac:dyDescent="0.35">
      <c r="C1341" s="2"/>
      <c r="D1341" s="3"/>
      <c r="E1341" s="2"/>
      <c r="F1341" s="2"/>
      <c r="G1341" s="2"/>
      <c r="H1341" s="2"/>
    </row>
    <row r="1342" spans="3:9" x14ac:dyDescent="0.35">
      <c r="C1342" s="2"/>
      <c r="D1342" s="3"/>
      <c r="E1342" s="2"/>
      <c r="F1342" s="2"/>
      <c r="G1342" s="2"/>
      <c r="H1342" s="2"/>
    </row>
    <row r="1343" spans="3:9" x14ac:dyDescent="0.35">
      <c r="C1343" s="2"/>
      <c r="D1343" s="3"/>
      <c r="E1343" s="2"/>
      <c r="F1343" s="2"/>
      <c r="G1343" s="2"/>
      <c r="H1343" s="2"/>
    </row>
    <row r="1344" spans="3:9" x14ac:dyDescent="0.35">
      <c r="C1344" s="2"/>
      <c r="D1344" s="3"/>
      <c r="E1344" s="2"/>
      <c r="F1344" s="2"/>
      <c r="G1344" s="2"/>
      <c r="H1344" s="2"/>
    </row>
    <row r="1345" spans="3:9" x14ac:dyDescent="0.35">
      <c r="C1345" s="2"/>
      <c r="D1345" s="3"/>
      <c r="H1345" s="2"/>
      <c r="I1345" s="2"/>
    </row>
    <row r="1346" spans="3:9" x14ac:dyDescent="0.35">
      <c r="C1346" s="2"/>
      <c r="D1346" s="3"/>
      <c r="H1346" s="2"/>
      <c r="I1346" s="2"/>
    </row>
    <row r="1347" spans="3:9" x14ac:dyDescent="0.35">
      <c r="C1347" s="2"/>
      <c r="D1347" s="3"/>
      <c r="H1347" s="2"/>
      <c r="I1347" s="2"/>
    </row>
    <row r="1348" spans="3:9" x14ac:dyDescent="0.35">
      <c r="C1348" s="2"/>
      <c r="D1348" s="3"/>
      <c r="H1348" s="2"/>
      <c r="I1348" s="2"/>
    </row>
    <row r="1349" spans="3:9" x14ac:dyDescent="0.35">
      <c r="C1349" s="2"/>
      <c r="D1349" s="3"/>
      <c r="H1349" s="2"/>
      <c r="I1349" s="2"/>
    </row>
    <row r="1350" spans="3:9" x14ac:dyDescent="0.35">
      <c r="C1350" s="2"/>
      <c r="D1350" s="3"/>
      <c r="H1350" s="2"/>
      <c r="I1350" s="2"/>
    </row>
    <row r="1351" spans="3:9" x14ac:dyDescent="0.35">
      <c r="C1351" s="2"/>
      <c r="D1351" s="3"/>
      <c r="H1351" s="2"/>
      <c r="I1351" s="2"/>
    </row>
    <row r="1352" spans="3:9" x14ac:dyDescent="0.35">
      <c r="C1352" s="2"/>
      <c r="D1352" s="3"/>
      <c r="H1352" s="2"/>
      <c r="I1352" s="2"/>
    </row>
    <row r="1353" spans="3:9" x14ac:dyDescent="0.35">
      <c r="C1353" s="2"/>
      <c r="D1353" s="3"/>
      <c r="H1353" s="2"/>
      <c r="I1353" s="2"/>
    </row>
    <row r="1354" spans="3:9" x14ac:dyDescent="0.35">
      <c r="C1354" s="2"/>
      <c r="D1354" s="3"/>
      <c r="H1354" s="2"/>
      <c r="I1354" s="2"/>
    </row>
    <row r="1355" spans="3:9" x14ac:dyDescent="0.35">
      <c r="C1355" s="2"/>
      <c r="D1355" s="3"/>
      <c r="E1355" s="2"/>
      <c r="F1355" s="2"/>
      <c r="G1355" s="2"/>
      <c r="I1355" s="2"/>
    </row>
    <row r="1356" spans="3:9" x14ac:dyDescent="0.35">
      <c r="C1356" s="2"/>
      <c r="D1356" s="3"/>
      <c r="E1356" s="2"/>
      <c r="F1356" s="2"/>
      <c r="G1356" s="2"/>
      <c r="H1356" s="2"/>
    </row>
    <row r="1357" spans="3:9" x14ac:dyDescent="0.35">
      <c r="C1357" s="2"/>
      <c r="D1357" s="3"/>
      <c r="E1357" s="2"/>
      <c r="F1357" s="2"/>
      <c r="G1357" s="2"/>
      <c r="H1357" s="2"/>
    </row>
    <row r="1358" spans="3:9" x14ac:dyDescent="0.35">
      <c r="C1358" s="2"/>
      <c r="D1358" s="3"/>
      <c r="E1358" s="2"/>
      <c r="F1358" s="2"/>
      <c r="G1358" s="2"/>
      <c r="H1358" s="2"/>
    </row>
    <row r="1359" spans="3:9" x14ac:dyDescent="0.35">
      <c r="C1359" s="2"/>
      <c r="D1359" s="3"/>
      <c r="E1359" s="2"/>
      <c r="F1359" s="2"/>
      <c r="G1359" s="2"/>
      <c r="H1359" s="2"/>
    </row>
    <row r="1360" spans="3:9" x14ac:dyDescent="0.35">
      <c r="C1360" s="2"/>
      <c r="D1360" s="3"/>
      <c r="E1360" s="2"/>
      <c r="F1360" s="2"/>
      <c r="G1360" s="2"/>
      <c r="H1360" s="2"/>
    </row>
    <row r="1361" spans="3:9" x14ac:dyDescent="0.35">
      <c r="C1361" s="2"/>
      <c r="D1361" s="3"/>
      <c r="E1361" s="2"/>
      <c r="F1361" s="2"/>
      <c r="G1361" s="2"/>
      <c r="H1361" s="2"/>
    </row>
    <row r="1362" spans="3:9" x14ac:dyDescent="0.35">
      <c r="C1362" s="2"/>
      <c r="D1362" s="3"/>
      <c r="E1362" s="2"/>
      <c r="F1362" s="2"/>
      <c r="G1362" s="2"/>
      <c r="H1362" s="2"/>
    </row>
    <row r="1363" spans="3:9" x14ac:dyDescent="0.35">
      <c r="C1363" s="2"/>
      <c r="D1363" s="3"/>
      <c r="E1363" s="2"/>
      <c r="F1363" s="2"/>
      <c r="G1363" s="2"/>
      <c r="H1363" s="2"/>
    </row>
    <row r="1364" spans="3:9" x14ac:dyDescent="0.35">
      <c r="C1364" s="2"/>
      <c r="D1364" s="3"/>
      <c r="E1364" s="2"/>
      <c r="F1364" s="2"/>
      <c r="G1364" s="2"/>
      <c r="H1364" s="2"/>
    </row>
    <row r="1365" spans="3:9" x14ac:dyDescent="0.35">
      <c r="C1365" s="2"/>
      <c r="D1365" s="3"/>
      <c r="E1365" s="2"/>
      <c r="F1365" s="2"/>
      <c r="G1365" s="2"/>
      <c r="H1365" s="2"/>
    </row>
    <row r="1366" spans="3:9" x14ac:dyDescent="0.35">
      <c r="C1366" s="2"/>
      <c r="D1366" s="3"/>
      <c r="H1366" s="2"/>
    </row>
    <row r="1367" spans="3:9" x14ac:dyDescent="0.35">
      <c r="C1367" s="2"/>
      <c r="D1367" s="3"/>
      <c r="H1367" s="2"/>
    </row>
    <row r="1368" spans="3:9" x14ac:dyDescent="0.35">
      <c r="C1368" s="2"/>
      <c r="D1368" s="3"/>
      <c r="H1368" s="2"/>
      <c r="I1368" s="2"/>
    </row>
    <row r="1369" spans="3:9" x14ac:dyDescent="0.35">
      <c r="C1369" s="2"/>
      <c r="D1369" s="3"/>
      <c r="H1369" s="2"/>
      <c r="I1369" s="2"/>
    </row>
    <row r="1370" spans="3:9" x14ac:dyDescent="0.35">
      <c r="C1370" s="2"/>
      <c r="D1370" s="3"/>
      <c r="H1370" s="2"/>
    </row>
    <row r="1371" spans="3:9" x14ac:dyDescent="0.35">
      <c r="C1371" s="2"/>
      <c r="D1371" s="3"/>
      <c r="H1371" s="2"/>
    </row>
    <row r="1372" spans="3:9" x14ac:dyDescent="0.35">
      <c r="C1372" s="2"/>
      <c r="D1372" s="3"/>
      <c r="H1372" s="2"/>
    </row>
    <row r="1373" spans="3:9" x14ac:dyDescent="0.35">
      <c r="C1373" s="2"/>
      <c r="D1373" s="3"/>
      <c r="H1373" s="2"/>
    </row>
    <row r="1374" spans="3:9" x14ac:dyDescent="0.35">
      <c r="C1374" s="2"/>
      <c r="D1374" s="3"/>
      <c r="H1374" s="2"/>
      <c r="I1374" s="2"/>
    </row>
    <row r="1375" spans="3:9" x14ac:dyDescent="0.35">
      <c r="C1375" s="2"/>
      <c r="D1375" s="3"/>
      <c r="H1375" s="2"/>
      <c r="I1375" s="2"/>
    </row>
    <row r="1376" spans="3:9" x14ac:dyDescent="0.35">
      <c r="C1376" s="2"/>
      <c r="D1376" s="3"/>
      <c r="E1376" s="2"/>
      <c r="F1376" s="2"/>
      <c r="G1376" s="2"/>
      <c r="I1376" s="2"/>
    </row>
    <row r="1377" spans="3:9" x14ac:dyDescent="0.35">
      <c r="C1377" s="2"/>
      <c r="D1377" s="3"/>
      <c r="E1377" s="2"/>
      <c r="F1377" s="2"/>
      <c r="G1377" s="2"/>
      <c r="H1377" s="2"/>
    </row>
    <row r="1378" spans="3:9" x14ac:dyDescent="0.35">
      <c r="C1378" s="2"/>
      <c r="D1378" s="3"/>
      <c r="E1378" s="2"/>
      <c r="F1378" s="2"/>
      <c r="G1378" s="2"/>
      <c r="H1378" s="2"/>
    </row>
    <row r="1379" spans="3:9" x14ac:dyDescent="0.35">
      <c r="C1379" s="2"/>
      <c r="D1379" s="3"/>
      <c r="E1379" s="2"/>
      <c r="F1379" s="2"/>
      <c r="G1379" s="2"/>
      <c r="H1379" s="2"/>
    </row>
    <row r="1380" spans="3:9" x14ac:dyDescent="0.35">
      <c r="C1380" s="2"/>
      <c r="D1380" s="3"/>
      <c r="E1380" s="2"/>
      <c r="F1380" s="2"/>
      <c r="G1380" s="2"/>
      <c r="H1380" s="2"/>
    </row>
    <row r="1381" spans="3:9" x14ac:dyDescent="0.35">
      <c r="C1381" s="2"/>
      <c r="D1381" s="3"/>
      <c r="H1381" s="2"/>
      <c r="I1381" s="2"/>
    </row>
    <row r="1382" spans="3:9" x14ac:dyDescent="0.35">
      <c r="C1382" s="2"/>
      <c r="D1382" s="3"/>
      <c r="H1382" s="2"/>
      <c r="I1382" s="2"/>
    </row>
    <row r="1383" spans="3:9" x14ac:dyDescent="0.35">
      <c r="C1383" s="2"/>
      <c r="D1383" s="3"/>
      <c r="H1383" s="2"/>
      <c r="I1383" s="2"/>
    </row>
    <row r="1384" spans="3:9" x14ac:dyDescent="0.35">
      <c r="C1384" s="2"/>
      <c r="D1384" s="3"/>
      <c r="H1384" s="2"/>
      <c r="I1384" s="2"/>
    </row>
    <row r="1385" spans="3:9" x14ac:dyDescent="0.35">
      <c r="C1385" s="2"/>
      <c r="D1385" s="3"/>
      <c r="H1385" s="2"/>
      <c r="I1385" s="2"/>
    </row>
    <row r="1386" spans="3:9" x14ac:dyDescent="0.35">
      <c r="C1386" s="2"/>
      <c r="D1386" s="3"/>
      <c r="H1386" s="2"/>
      <c r="I1386" s="2"/>
    </row>
    <row r="1387" spans="3:9" x14ac:dyDescent="0.35">
      <c r="C1387" s="2"/>
      <c r="D1387" s="3"/>
      <c r="H1387" s="2"/>
      <c r="I1387" s="2"/>
    </row>
    <row r="1388" spans="3:9" x14ac:dyDescent="0.35">
      <c r="C1388" s="2"/>
      <c r="D1388" s="3"/>
      <c r="H1388" s="2"/>
      <c r="I1388" s="2"/>
    </row>
    <row r="1389" spans="3:9" x14ac:dyDescent="0.35">
      <c r="C1389" s="2"/>
      <c r="D1389" s="3"/>
      <c r="H1389" s="2"/>
      <c r="I1389" s="2"/>
    </row>
    <row r="1390" spans="3:9" x14ac:dyDescent="0.35">
      <c r="C1390" s="2"/>
      <c r="D1390" s="3"/>
      <c r="H1390" s="2"/>
      <c r="I1390" s="2"/>
    </row>
    <row r="1391" spans="3:9" x14ac:dyDescent="0.35">
      <c r="C1391" s="2"/>
      <c r="D1391" s="3"/>
      <c r="E1391" s="2"/>
      <c r="F1391" s="2"/>
      <c r="G1391" s="2"/>
      <c r="I1391" s="2"/>
    </row>
    <row r="1392" spans="3:9" x14ac:dyDescent="0.35">
      <c r="C1392" s="2"/>
      <c r="D1392" s="3"/>
      <c r="E1392" s="2"/>
      <c r="F1392" s="2"/>
      <c r="G1392" s="2"/>
      <c r="H1392" s="2"/>
    </row>
    <row r="1393" spans="3:9" x14ac:dyDescent="0.35">
      <c r="C1393" s="2"/>
      <c r="D1393" s="3"/>
      <c r="E1393" s="2"/>
      <c r="F1393" s="2"/>
      <c r="G1393" s="2"/>
      <c r="H1393" s="2"/>
    </row>
    <row r="1394" spans="3:9" x14ac:dyDescent="0.35">
      <c r="C1394" s="2"/>
      <c r="D1394" s="3"/>
      <c r="E1394" s="2"/>
      <c r="F1394" s="2"/>
      <c r="G1394" s="2"/>
      <c r="H1394" s="2"/>
    </row>
    <row r="1395" spans="3:9" x14ac:dyDescent="0.35">
      <c r="C1395" s="2"/>
      <c r="D1395" s="3"/>
      <c r="E1395" s="2"/>
      <c r="F1395" s="2"/>
      <c r="G1395" s="2"/>
      <c r="H1395" s="2"/>
    </row>
    <row r="1396" spans="3:9" x14ac:dyDescent="0.35">
      <c r="C1396" s="2"/>
      <c r="D1396" s="3"/>
      <c r="E1396" s="2"/>
      <c r="F1396" s="2"/>
      <c r="G1396" s="2"/>
      <c r="H1396" s="2"/>
    </row>
    <row r="1397" spans="3:9" x14ac:dyDescent="0.35">
      <c r="C1397" s="2"/>
      <c r="D1397" s="3"/>
      <c r="E1397" s="2"/>
      <c r="F1397" s="2"/>
      <c r="G1397" s="2"/>
      <c r="H1397" s="2"/>
    </row>
    <row r="1398" spans="3:9" x14ac:dyDescent="0.35">
      <c r="C1398" s="2"/>
      <c r="D1398" s="3"/>
      <c r="E1398" s="2"/>
      <c r="F1398" s="2"/>
      <c r="G1398" s="2"/>
      <c r="H1398" s="2"/>
    </row>
    <row r="1399" spans="3:9" x14ac:dyDescent="0.35">
      <c r="C1399" s="2"/>
      <c r="D1399" s="3"/>
      <c r="E1399" s="2"/>
      <c r="F1399" s="2"/>
      <c r="G1399" s="2"/>
      <c r="H1399" s="2"/>
    </row>
    <row r="1400" spans="3:9" x14ac:dyDescent="0.35">
      <c r="C1400" s="2"/>
      <c r="D1400" s="3"/>
      <c r="E1400" s="2"/>
      <c r="F1400" s="2"/>
      <c r="G1400" s="2"/>
      <c r="H1400" s="2"/>
    </row>
    <row r="1401" spans="3:9" x14ac:dyDescent="0.35">
      <c r="C1401" s="2"/>
      <c r="D1401" s="3"/>
      <c r="E1401" s="2"/>
      <c r="F1401" s="2"/>
      <c r="G1401" s="2"/>
      <c r="H1401" s="2"/>
    </row>
    <row r="1402" spans="3:9" x14ac:dyDescent="0.35">
      <c r="C1402" s="2"/>
      <c r="D1402" s="3"/>
      <c r="H1402" s="2"/>
    </row>
    <row r="1403" spans="3:9" x14ac:dyDescent="0.35">
      <c r="C1403" s="2"/>
      <c r="D1403" s="3"/>
      <c r="H1403" s="2"/>
    </row>
    <row r="1404" spans="3:9" x14ac:dyDescent="0.35">
      <c r="C1404" s="2"/>
      <c r="D1404" s="3"/>
      <c r="H1404" s="2"/>
      <c r="I1404" s="2"/>
    </row>
    <row r="1405" spans="3:9" x14ac:dyDescent="0.35">
      <c r="C1405" s="2"/>
      <c r="D1405" s="3"/>
      <c r="H1405" s="2"/>
      <c r="I1405" s="2"/>
    </row>
    <row r="1406" spans="3:9" x14ac:dyDescent="0.35">
      <c r="C1406" s="2"/>
      <c r="D1406" s="3"/>
      <c r="H1406" s="2"/>
    </row>
    <row r="1407" spans="3:9" x14ac:dyDescent="0.35">
      <c r="C1407" s="2"/>
      <c r="D1407" s="3"/>
      <c r="H1407" s="2"/>
    </row>
    <row r="1408" spans="3:9" x14ac:dyDescent="0.35">
      <c r="C1408" s="2"/>
      <c r="D1408" s="3"/>
      <c r="H1408" s="2"/>
    </row>
    <row r="1409" spans="3:9" x14ac:dyDescent="0.35">
      <c r="C1409" s="2"/>
      <c r="D1409" s="3"/>
      <c r="H1409" s="2"/>
    </row>
    <row r="1410" spans="3:9" x14ac:dyDescent="0.35">
      <c r="C1410" s="2"/>
      <c r="D1410" s="3"/>
      <c r="H1410" s="2"/>
      <c r="I1410" s="2"/>
    </row>
    <row r="1411" spans="3:9" x14ac:dyDescent="0.35">
      <c r="C1411" s="2"/>
      <c r="D1411" s="3"/>
      <c r="H1411" s="2"/>
      <c r="I1411" s="2"/>
    </row>
    <row r="1412" spans="3:9" x14ac:dyDescent="0.35">
      <c r="C1412" s="2"/>
      <c r="D1412" s="3"/>
      <c r="E1412" s="2"/>
      <c r="F1412" s="2"/>
      <c r="G1412" s="2"/>
      <c r="I1412" s="2"/>
    </row>
    <row r="1413" spans="3:9" x14ac:dyDescent="0.35">
      <c r="C1413" s="2"/>
      <c r="D1413" s="3"/>
      <c r="E1413" s="2"/>
      <c r="F1413" s="2"/>
      <c r="G1413" s="2"/>
      <c r="H1413" s="2"/>
    </row>
    <row r="1414" spans="3:9" x14ac:dyDescent="0.35">
      <c r="C1414" s="2"/>
      <c r="D1414" s="3"/>
      <c r="E1414" s="2"/>
      <c r="F1414" s="2"/>
      <c r="G1414" s="2"/>
      <c r="H1414" s="2"/>
    </row>
    <row r="1415" spans="3:9" x14ac:dyDescent="0.35">
      <c r="C1415" s="2"/>
      <c r="D1415" s="3"/>
      <c r="E1415" s="2"/>
      <c r="F1415" s="2"/>
      <c r="G1415" s="2"/>
      <c r="H1415" s="2"/>
    </row>
    <row r="1416" spans="3:9" x14ac:dyDescent="0.35">
      <c r="C1416" s="2"/>
      <c r="D1416" s="3"/>
      <c r="E1416" s="2"/>
      <c r="F1416" s="2"/>
      <c r="G1416" s="2"/>
      <c r="H1416" s="2"/>
    </row>
    <row r="1417" spans="3:9" x14ac:dyDescent="0.35">
      <c r="C1417" s="2"/>
      <c r="D1417" s="3"/>
      <c r="H1417" s="2"/>
    </row>
    <row r="1418" spans="3:9" x14ac:dyDescent="0.35">
      <c r="C1418" s="2"/>
      <c r="D1418" s="3"/>
      <c r="H1418" s="2"/>
    </row>
    <row r="1419" spans="3:9" x14ac:dyDescent="0.35">
      <c r="C1419" s="2"/>
      <c r="D1419" s="3"/>
      <c r="H1419" s="2"/>
      <c r="I1419" s="2"/>
    </row>
    <row r="1420" spans="3:9" x14ac:dyDescent="0.35">
      <c r="C1420" s="2"/>
      <c r="D1420" s="3"/>
      <c r="H1420" s="2"/>
      <c r="I1420" s="2"/>
    </row>
    <row r="1421" spans="3:9" x14ac:dyDescent="0.35">
      <c r="C1421" s="2"/>
      <c r="D1421" s="3"/>
      <c r="H1421" s="2"/>
    </row>
    <row r="1422" spans="3:9" x14ac:dyDescent="0.35">
      <c r="C1422" s="2"/>
      <c r="D1422" s="3"/>
      <c r="H1422" s="2"/>
    </row>
    <row r="1423" spans="3:9" x14ac:dyDescent="0.35">
      <c r="C1423" s="2"/>
      <c r="D1423" s="3"/>
      <c r="H1423" s="2"/>
    </row>
    <row r="1424" spans="3:9" x14ac:dyDescent="0.35">
      <c r="C1424" s="2"/>
      <c r="D1424" s="3"/>
      <c r="H1424" s="2"/>
    </row>
    <row r="1425" spans="3:9" x14ac:dyDescent="0.35">
      <c r="C1425" s="2"/>
      <c r="D1425" s="3"/>
      <c r="H1425" s="2"/>
      <c r="I1425" s="2"/>
    </row>
    <row r="1426" spans="3:9" x14ac:dyDescent="0.35">
      <c r="C1426" s="2"/>
      <c r="D1426" s="3"/>
      <c r="H1426" s="2"/>
      <c r="I1426" s="2"/>
    </row>
    <row r="1427" spans="3:9" x14ac:dyDescent="0.35">
      <c r="C1427" s="2"/>
      <c r="D1427" s="3"/>
      <c r="E1427" s="2"/>
      <c r="F1427" s="2"/>
      <c r="G1427" s="2"/>
      <c r="I1427" s="2"/>
    </row>
    <row r="1428" spans="3:9" x14ac:dyDescent="0.35">
      <c r="C1428" s="2"/>
      <c r="D1428" s="3"/>
      <c r="E1428" s="2"/>
      <c r="F1428" s="2"/>
      <c r="G1428" s="2"/>
      <c r="H1428" s="2"/>
    </row>
    <row r="1429" spans="3:9" x14ac:dyDescent="0.35">
      <c r="C1429" s="2"/>
      <c r="D1429" s="3"/>
      <c r="E1429" s="2"/>
      <c r="F1429" s="2"/>
      <c r="G1429" s="2"/>
      <c r="H1429" s="2"/>
    </row>
    <row r="1430" spans="3:9" x14ac:dyDescent="0.35">
      <c r="C1430" s="2"/>
      <c r="D1430" s="3"/>
      <c r="E1430" s="2"/>
      <c r="F1430" s="2"/>
      <c r="G1430" s="2"/>
      <c r="H1430" s="2"/>
    </row>
    <row r="1431" spans="3:9" x14ac:dyDescent="0.35">
      <c r="C1431" s="2"/>
      <c r="D1431" s="3"/>
      <c r="E1431" s="2"/>
      <c r="F1431" s="2"/>
      <c r="G1431" s="2"/>
      <c r="H1431" s="2"/>
    </row>
    <row r="1432" spans="3:9" x14ac:dyDescent="0.35">
      <c r="C1432" s="2"/>
      <c r="D1432" s="3"/>
      <c r="H1432" s="2"/>
      <c r="I1432" s="2"/>
    </row>
    <row r="1433" spans="3:9" x14ac:dyDescent="0.35">
      <c r="C1433" s="2"/>
      <c r="D1433" s="3"/>
      <c r="H1433" s="2"/>
      <c r="I1433" s="2"/>
    </row>
    <row r="1434" spans="3:9" x14ac:dyDescent="0.35">
      <c r="C1434" s="2"/>
      <c r="D1434" s="3"/>
      <c r="H1434" s="2"/>
      <c r="I1434" s="2"/>
    </row>
    <row r="1435" spans="3:9" x14ac:dyDescent="0.35">
      <c r="C1435" s="2"/>
      <c r="D1435" s="3"/>
      <c r="H1435" s="2"/>
      <c r="I1435" s="2"/>
    </row>
    <row r="1436" spans="3:9" x14ac:dyDescent="0.35">
      <c r="C1436" s="2"/>
      <c r="D1436" s="3"/>
      <c r="H1436" s="2"/>
      <c r="I1436" s="2"/>
    </row>
    <row r="1437" spans="3:9" x14ac:dyDescent="0.35">
      <c r="C1437" s="2"/>
      <c r="D1437" s="3"/>
      <c r="H1437" s="2"/>
      <c r="I1437" s="2"/>
    </row>
    <row r="1438" spans="3:9" x14ac:dyDescent="0.35">
      <c r="C1438" s="2"/>
      <c r="D1438" s="3"/>
      <c r="H1438" s="2"/>
      <c r="I1438" s="2"/>
    </row>
    <row r="1439" spans="3:9" x14ac:dyDescent="0.35">
      <c r="C1439" s="2"/>
      <c r="D1439" s="3"/>
      <c r="H1439" s="2"/>
      <c r="I1439" s="2"/>
    </row>
    <row r="1440" spans="3:9" x14ac:dyDescent="0.35">
      <c r="C1440" s="2"/>
      <c r="D1440" s="3"/>
      <c r="H1440" s="2"/>
      <c r="I1440" s="2"/>
    </row>
    <row r="1441" spans="3:9" x14ac:dyDescent="0.35">
      <c r="C1441" s="2"/>
      <c r="D1441" s="3"/>
      <c r="H1441" s="2"/>
      <c r="I1441" s="2"/>
    </row>
    <row r="1442" spans="3:9" x14ac:dyDescent="0.35">
      <c r="C1442" s="2"/>
      <c r="D1442" s="3"/>
      <c r="E1442" s="2"/>
      <c r="F1442" s="2"/>
      <c r="G1442" s="2"/>
      <c r="I1442" s="2"/>
    </row>
    <row r="1443" spans="3:9" x14ac:dyDescent="0.35">
      <c r="C1443" s="2"/>
      <c r="D1443" s="3"/>
      <c r="E1443" s="2"/>
      <c r="F1443" s="2"/>
      <c r="G1443" s="2"/>
      <c r="H1443" s="2"/>
    </row>
    <row r="1444" spans="3:9" x14ac:dyDescent="0.35">
      <c r="C1444" s="2"/>
      <c r="D1444" s="3"/>
      <c r="E1444" s="2"/>
      <c r="F1444" s="2"/>
      <c r="G1444" s="2"/>
      <c r="H1444" s="2"/>
    </row>
    <row r="1445" spans="3:9" x14ac:dyDescent="0.35">
      <c r="C1445" s="2"/>
      <c r="D1445" s="3"/>
      <c r="E1445" s="2"/>
      <c r="F1445" s="2"/>
      <c r="G1445" s="2"/>
      <c r="H1445" s="2"/>
    </row>
    <row r="1446" spans="3:9" x14ac:dyDescent="0.35">
      <c r="C1446" s="2"/>
      <c r="D1446" s="3"/>
      <c r="E1446" s="2"/>
      <c r="F1446" s="2"/>
      <c r="G1446" s="2"/>
      <c r="H1446" s="2"/>
    </row>
    <row r="1447" spans="3:9" x14ac:dyDescent="0.35">
      <c r="C1447" s="2"/>
      <c r="D1447" s="3"/>
      <c r="E1447" s="2"/>
      <c r="F1447" s="2"/>
      <c r="G1447" s="2"/>
      <c r="H1447" s="2"/>
    </row>
    <row r="1448" spans="3:9" x14ac:dyDescent="0.35">
      <c r="C1448" s="2"/>
      <c r="D1448" s="3"/>
      <c r="E1448" s="2"/>
      <c r="F1448" s="2"/>
      <c r="G1448" s="2"/>
      <c r="H1448" s="2"/>
    </row>
    <row r="1449" spans="3:9" x14ac:dyDescent="0.35">
      <c r="C1449" s="2"/>
      <c r="D1449" s="3"/>
      <c r="E1449" s="2"/>
      <c r="F1449" s="2"/>
      <c r="G1449" s="2"/>
      <c r="H1449" s="2"/>
    </row>
    <row r="1450" spans="3:9" x14ac:dyDescent="0.35">
      <c r="C1450" s="2"/>
      <c r="D1450" s="3"/>
      <c r="E1450" s="2"/>
      <c r="F1450" s="2"/>
      <c r="G1450" s="2"/>
      <c r="H1450" s="2"/>
    </row>
    <row r="1451" spans="3:9" x14ac:dyDescent="0.35">
      <c r="C1451" s="2"/>
      <c r="D1451" s="3"/>
      <c r="E1451" s="2"/>
      <c r="F1451" s="2"/>
      <c r="G1451" s="2"/>
      <c r="H1451" s="2"/>
    </row>
    <row r="1452" spans="3:9" x14ac:dyDescent="0.35">
      <c r="C1452" s="2"/>
      <c r="D1452" s="3"/>
      <c r="E1452" s="2"/>
      <c r="F1452" s="2"/>
      <c r="G1452" s="2"/>
      <c r="H1452" s="2"/>
    </row>
    <row r="1453" spans="3:9" x14ac:dyDescent="0.35">
      <c r="C1453" s="2"/>
      <c r="D1453" s="3"/>
      <c r="H1453" s="2"/>
    </row>
    <row r="1454" spans="3:9" x14ac:dyDescent="0.35">
      <c r="C1454" s="2"/>
      <c r="D1454" s="3"/>
      <c r="H1454" s="2"/>
    </row>
    <row r="1455" spans="3:9" x14ac:dyDescent="0.35">
      <c r="C1455" s="2"/>
      <c r="D1455" s="3"/>
      <c r="H1455" s="2"/>
      <c r="I1455" s="2"/>
    </row>
    <row r="1456" spans="3:9" x14ac:dyDescent="0.35">
      <c r="C1456" s="2"/>
      <c r="D1456" s="3"/>
      <c r="H1456" s="2"/>
      <c r="I1456" s="2"/>
    </row>
    <row r="1457" spans="3:9" x14ac:dyDescent="0.35">
      <c r="C1457" s="2"/>
      <c r="D1457" s="3"/>
      <c r="H1457" s="2"/>
    </row>
    <row r="1458" spans="3:9" x14ac:dyDescent="0.35">
      <c r="C1458" s="2"/>
      <c r="D1458" s="3"/>
      <c r="H1458" s="2"/>
    </row>
    <row r="1459" spans="3:9" x14ac:dyDescent="0.35">
      <c r="C1459" s="2"/>
      <c r="D1459" s="3"/>
      <c r="H1459" s="2"/>
    </row>
    <row r="1460" spans="3:9" x14ac:dyDescent="0.35">
      <c r="C1460" s="2"/>
      <c r="D1460" s="3"/>
      <c r="H1460" s="2"/>
    </row>
    <row r="1461" spans="3:9" x14ac:dyDescent="0.35">
      <c r="C1461" s="2"/>
      <c r="D1461" s="3"/>
      <c r="H1461" s="2"/>
      <c r="I1461" s="2"/>
    </row>
    <row r="1462" spans="3:9" x14ac:dyDescent="0.35">
      <c r="C1462" s="2"/>
      <c r="D1462" s="3"/>
      <c r="H1462" s="2"/>
      <c r="I1462" s="2"/>
    </row>
    <row r="1463" spans="3:9" x14ac:dyDescent="0.35">
      <c r="C1463" s="2"/>
      <c r="D1463" s="3"/>
      <c r="E1463" s="2"/>
      <c r="F1463" s="2"/>
      <c r="G1463" s="2"/>
      <c r="I1463" s="2"/>
    </row>
    <row r="1464" spans="3:9" x14ac:dyDescent="0.35">
      <c r="C1464" s="2"/>
      <c r="D1464" s="3"/>
      <c r="E1464" s="2"/>
      <c r="F1464" s="2"/>
      <c r="G1464" s="2"/>
      <c r="H1464" s="2"/>
    </row>
    <row r="1465" spans="3:9" x14ac:dyDescent="0.35">
      <c r="C1465" s="2"/>
      <c r="D1465" s="3"/>
      <c r="E1465" s="2"/>
      <c r="F1465" s="2"/>
      <c r="G1465" s="2"/>
      <c r="H1465" s="2"/>
    </row>
    <row r="1466" spans="3:9" x14ac:dyDescent="0.35">
      <c r="C1466" s="2"/>
      <c r="D1466" s="3"/>
      <c r="E1466" s="2"/>
      <c r="F1466" s="2"/>
      <c r="G1466" s="2"/>
      <c r="H1466" s="2"/>
    </row>
    <row r="1467" spans="3:9" x14ac:dyDescent="0.35">
      <c r="C1467" s="2"/>
      <c r="D1467" s="3"/>
      <c r="E1467" s="2"/>
      <c r="F1467" s="2"/>
      <c r="G1467" s="2"/>
      <c r="H1467" s="2"/>
    </row>
    <row r="1468" spans="3:9" x14ac:dyDescent="0.35">
      <c r="C1468" s="2"/>
      <c r="D1468" s="3"/>
      <c r="H1468" s="2"/>
      <c r="I1468" s="2"/>
    </row>
    <row r="1469" spans="3:9" x14ac:dyDescent="0.35">
      <c r="C1469" s="2"/>
      <c r="D1469" s="3"/>
      <c r="H1469" s="2"/>
      <c r="I1469" s="2"/>
    </row>
    <row r="1470" spans="3:9" x14ac:dyDescent="0.35">
      <c r="C1470" s="2"/>
      <c r="D1470" s="3"/>
      <c r="H1470" s="2"/>
      <c r="I1470" s="2"/>
    </row>
    <row r="1471" spans="3:9" x14ac:dyDescent="0.35">
      <c r="C1471" s="2"/>
      <c r="D1471" s="3"/>
      <c r="H1471" s="2"/>
      <c r="I1471" s="2"/>
    </row>
    <row r="1472" spans="3:9" x14ac:dyDescent="0.35">
      <c r="C1472" s="2"/>
      <c r="D1472" s="3"/>
      <c r="H1472" s="2"/>
      <c r="I1472" s="2"/>
    </row>
    <row r="1473" spans="3:9" x14ac:dyDescent="0.35">
      <c r="C1473" s="2"/>
      <c r="D1473" s="3"/>
      <c r="H1473" s="2"/>
      <c r="I1473" s="2"/>
    </row>
    <row r="1474" spans="3:9" x14ac:dyDescent="0.35">
      <c r="C1474" s="2"/>
      <c r="D1474" s="3"/>
      <c r="H1474" s="2"/>
      <c r="I1474" s="2"/>
    </row>
    <row r="1475" spans="3:9" x14ac:dyDescent="0.35">
      <c r="C1475" s="2"/>
      <c r="D1475" s="3"/>
      <c r="H1475" s="2"/>
      <c r="I1475" s="2"/>
    </row>
    <row r="1476" spans="3:9" x14ac:dyDescent="0.35">
      <c r="C1476" s="2"/>
      <c r="D1476" s="3"/>
      <c r="H1476" s="2"/>
      <c r="I1476" s="2"/>
    </row>
    <row r="1477" spans="3:9" x14ac:dyDescent="0.35">
      <c r="C1477" s="2"/>
      <c r="D1477" s="3"/>
      <c r="H1477" s="2"/>
      <c r="I1477" s="2"/>
    </row>
    <row r="1478" spans="3:9" x14ac:dyDescent="0.35">
      <c r="C1478" s="2"/>
      <c r="D1478" s="3"/>
      <c r="E1478" s="2"/>
      <c r="F1478" s="2"/>
      <c r="G1478" s="2"/>
      <c r="I1478" s="2"/>
    </row>
    <row r="1479" spans="3:9" x14ac:dyDescent="0.35">
      <c r="C1479" s="2"/>
      <c r="D1479" s="3"/>
      <c r="E1479" s="2"/>
      <c r="F1479" s="2"/>
      <c r="G1479" s="2"/>
      <c r="H1479" s="2"/>
    </row>
    <row r="1480" spans="3:9" x14ac:dyDescent="0.35">
      <c r="C1480" s="2"/>
      <c r="D1480" s="3"/>
      <c r="E1480" s="2"/>
      <c r="F1480" s="2"/>
      <c r="G1480" s="2"/>
      <c r="H1480" s="2"/>
    </row>
    <row r="1481" spans="3:9" x14ac:dyDescent="0.35">
      <c r="C1481" s="2"/>
      <c r="D1481" s="3"/>
      <c r="E1481" s="2"/>
      <c r="F1481" s="2"/>
      <c r="G1481" s="2"/>
      <c r="H1481" s="2"/>
    </row>
    <row r="1482" spans="3:9" x14ac:dyDescent="0.35">
      <c r="C1482" s="2"/>
      <c r="D1482" s="3"/>
      <c r="E1482" s="2"/>
      <c r="F1482" s="2"/>
      <c r="G1482" s="2"/>
      <c r="H1482" s="2"/>
    </row>
    <row r="1483" spans="3:9" x14ac:dyDescent="0.35">
      <c r="C1483" s="2"/>
      <c r="D1483" s="3"/>
      <c r="E1483" s="2"/>
      <c r="F1483" s="2"/>
      <c r="G1483" s="2"/>
      <c r="H1483" s="2"/>
    </row>
    <row r="1484" spans="3:9" x14ac:dyDescent="0.35">
      <c r="C1484" s="2"/>
      <c r="D1484" s="3"/>
      <c r="E1484" s="2"/>
      <c r="F1484" s="2"/>
      <c r="G1484" s="2"/>
      <c r="H1484" s="2"/>
    </row>
    <row r="1485" spans="3:9" x14ac:dyDescent="0.35">
      <c r="C1485" s="2"/>
      <c r="D1485" s="3"/>
      <c r="E1485" s="2"/>
      <c r="F1485" s="2"/>
      <c r="G1485" s="2"/>
      <c r="H1485" s="2"/>
    </row>
    <row r="1486" spans="3:9" x14ac:dyDescent="0.35">
      <c r="C1486" s="2"/>
      <c r="D1486" s="3"/>
      <c r="E1486" s="2"/>
      <c r="F1486" s="2"/>
      <c r="G1486" s="2"/>
      <c r="H1486" s="2"/>
    </row>
    <row r="1487" spans="3:9" x14ac:dyDescent="0.35">
      <c r="C1487" s="2"/>
      <c r="D1487" s="3"/>
      <c r="E1487" s="2"/>
      <c r="F1487" s="2"/>
      <c r="G1487" s="2"/>
      <c r="H1487" s="2"/>
    </row>
    <row r="1488" spans="3:9" x14ac:dyDescent="0.35">
      <c r="C1488" s="2"/>
      <c r="D1488" s="3"/>
      <c r="E1488" s="2"/>
      <c r="F1488" s="2"/>
      <c r="G1488" s="2"/>
      <c r="H1488" s="2"/>
    </row>
    <row r="1489" spans="3:9" x14ac:dyDescent="0.35">
      <c r="C1489" s="2"/>
      <c r="D1489" s="3"/>
      <c r="H1489" s="2"/>
      <c r="I1489" s="2"/>
    </row>
    <row r="1490" spans="3:9" x14ac:dyDescent="0.35">
      <c r="C1490" s="2"/>
      <c r="D1490" s="3"/>
      <c r="H1490" s="2"/>
      <c r="I1490" s="2"/>
    </row>
    <row r="1491" spans="3:9" x14ac:dyDescent="0.35">
      <c r="C1491" s="2"/>
      <c r="D1491" s="3"/>
      <c r="H1491" s="2"/>
      <c r="I1491" s="2"/>
    </row>
    <row r="1492" spans="3:9" x14ac:dyDescent="0.35">
      <c r="C1492" s="2"/>
      <c r="D1492" s="3"/>
      <c r="H1492" s="2"/>
      <c r="I1492" s="2"/>
    </row>
    <row r="1493" spans="3:9" x14ac:dyDescent="0.35">
      <c r="C1493" s="2"/>
      <c r="D1493" s="3"/>
      <c r="H1493" s="2"/>
      <c r="I1493" s="2"/>
    </row>
    <row r="1494" spans="3:9" x14ac:dyDescent="0.35">
      <c r="C1494" s="2"/>
      <c r="D1494" s="3"/>
      <c r="H1494" s="2"/>
      <c r="I1494" s="2"/>
    </row>
    <row r="1495" spans="3:9" x14ac:dyDescent="0.35">
      <c r="C1495" s="2"/>
      <c r="D1495" s="3"/>
      <c r="H1495" s="2"/>
      <c r="I1495" s="2"/>
    </row>
    <row r="1496" spans="3:9" x14ac:dyDescent="0.35">
      <c r="C1496" s="2"/>
      <c r="D1496" s="3"/>
      <c r="H1496" s="2"/>
      <c r="I1496" s="2"/>
    </row>
    <row r="1497" spans="3:9" x14ac:dyDescent="0.35">
      <c r="C1497" s="2"/>
      <c r="D1497" s="3"/>
      <c r="H1497" s="2"/>
      <c r="I1497" s="2"/>
    </row>
    <row r="1498" spans="3:9" x14ac:dyDescent="0.35">
      <c r="C1498" s="2"/>
      <c r="D1498" s="3"/>
      <c r="H1498" s="2"/>
      <c r="I1498" s="2"/>
    </row>
    <row r="1499" spans="3:9" x14ac:dyDescent="0.35">
      <c r="C1499" s="2"/>
      <c r="D1499" s="3"/>
      <c r="E1499" s="2"/>
      <c r="F1499" s="2"/>
      <c r="G1499" s="2"/>
      <c r="I1499" s="2"/>
    </row>
    <row r="1500" spans="3:9" x14ac:dyDescent="0.35">
      <c r="C1500" s="2"/>
      <c r="D1500" s="3"/>
      <c r="E1500" s="2"/>
      <c r="F1500" s="2"/>
      <c r="G1500" s="2"/>
      <c r="H1500" s="2"/>
    </row>
    <row r="1501" spans="3:9" x14ac:dyDescent="0.35">
      <c r="C1501" s="2"/>
      <c r="D1501" s="3"/>
      <c r="E1501" s="2"/>
      <c r="F1501" s="2"/>
      <c r="G1501" s="2"/>
      <c r="H1501" s="2"/>
    </row>
    <row r="1502" spans="3:9" x14ac:dyDescent="0.35">
      <c r="C1502" s="2"/>
      <c r="D1502" s="3"/>
      <c r="E1502" s="2"/>
      <c r="F1502" s="2"/>
      <c r="G1502" s="2"/>
      <c r="H1502" s="2"/>
    </row>
    <row r="1503" spans="3:9" x14ac:dyDescent="0.35">
      <c r="C1503" s="2"/>
      <c r="D1503" s="3"/>
      <c r="E1503" s="2"/>
      <c r="F1503" s="2"/>
      <c r="G1503" s="2"/>
      <c r="H1503" s="2"/>
    </row>
    <row r="1504" spans="3:9" x14ac:dyDescent="0.35">
      <c r="C1504" s="2"/>
      <c r="D1504" s="3"/>
      <c r="E1504" s="2"/>
      <c r="F1504" s="2"/>
      <c r="G1504" s="2"/>
      <c r="H1504" s="2"/>
    </row>
    <row r="1505" spans="3:9" x14ac:dyDescent="0.35">
      <c r="C1505" s="2"/>
      <c r="D1505" s="3"/>
      <c r="E1505" s="2"/>
      <c r="F1505" s="2"/>
      <c r="G1505" s="2"/>
      <c r="H1505" s="2"/>
    </row>
    <row r="1506" spans="3:9" x14ac:dyDescent="0.35">
      <c r="C1506" s="2"/>
      <c r="D1506" s="3"/>
      <c r="E1506" s="2"/>
      <c r="F1506" s="2"/>
      <c r="G1506" s="2"/>
      <c r="H1506" s="2"/>
    </row>
    <row r="1507" spans="3:9" x14ac:dyDescent="0.35">
      <c r="C1507" s="2"/>
      <c r="D1507" s="3"/>
      <c r="E1507" s="2"/>
      <c r="F1507" s="2"/>
      <c r="G1507" s="2"/>
      <c r="H1507" s="2"/>
    </row>
    <row r="1508" spans="3:9" x14ac:dyDescent="0.35">
      <c r="C1508" s="2"/>
      <c r="D1508" s="3"/>
      <c r="E1508" s="2"/>
      <c r="F1508" s="2"/>
      <c r="G1508" s="2"/>
      <c r="H1508" s="2"/>
    </row>
    <row r="1509" spans="3:9" x14ac:dyDescent="0.35">
      <c r="C1509" s="2"/>
      <c r="D1509" s="3"/>
      <c r="E1509" s="2"/>
      <c r="F1509" s="2"/>
      <c r="G1509" s="2"/>
      <c r="H1509" s="2"/>
    </row>
    <row r="1510" spans="3:9" x14ac:dyDescent="0.35">
      <c r="C1510" s="2"/>
      <c r="D1510" s="3"/>
      <c r="H1510" s="2"/>
      <c r="I1510" s="2"/>
    </row>
    <row r="1511" spans="3:9" x14ac:dyDescent="0.35">
      <c r="C1511" s="2"/>
      <c r="D1511" s="3"/>
      <c r="H1511" s="2"/>
      <c r="I1511" s="2"/>
    </row>
    <row r="1512" spans="3:9" x14ac:dyDescent="0.35">
      <c r="C1512" s="2"/>
      <c r="D1512" s="3"/>
      <c r="H1512" s="2"/>
      <c r="I1512" s="2"/>
    </row>
    <row r="1513" spans="3:9" x14ac:dyDescent="0.35">
      <c r="C1513" s="2"/>
      <c r="D1513" s="3"/>
      <c r="H1513" s="2"/>
      <c r="I1513" s="2"/>
    </row>
    <row r="1514" spans="3:9" x14ac:dyDescent="0.35">
      <c r="C1514" s="2"/>
      <c r="D1514" s="3"/>
      <c r="H1514" s="2"/>
      <c r="I1514" s="2"/>
    </row>
    <row r="1515" spans="3:9" x14ac:dyDescent="0.35">
      <c r="C1515" s="2"/>
      <c r="D1515" s="3"/>
      <c r="H1515" s="2"/>
      <c r="I1515" s="2"/>
    </row>
    <row r="1516" spans="3:9" x14ac:dyDescent="0.35">
      <c r="C1516" s="2"/>
      <c r="D1516" s="3"/>
      <c r="H1516" s="2"/>
      <c r="I1516" s="2"/>
    </row>
    <row r="1517" spans="3:9" x14ac:dyDescent="0.35">
      <c r="C1517" s="2"/>
      <c r="D1517" s="3"/>
      <c r="H1517" s="2"/>
      <c r="I1517" s="2"/>
    </row>
    <row r="1518" spans="3:9" x14ac:dyDescent="0.35">
      <c r="C1518" s="2"/>
      <c r="D1518" s="3"/>
      <c r="H1518" s="2"/>
      <c r="I1518" s="2"/>
    </row>
    <row r="1519" spans="3:9" x14ac:dyDescent="0.35">
      <c r="C1519" s="2"/>
      <c r="D1519" s="3"/>
      <c r="H1519" s="2"/>
      <c r="I1519" s="2"/>
    </row>
    <row r="1520" spans="3:9" x14ac:dyDescent="0.35">
      <c r="C1520" s="2"/>
      <c r="D1520" s="3"/>
      <c r="E1520" s="2"/>
      <c r="F1520" s="2"/>
      <c r="G1520" s="2"/>
      <c r="I1520" s="2"/>
    </row>
    <row r="1521" spans="3:9" x14ac:dyDescent="0.35">
      <c r="C1521" s="2"/>
      <c r="D1521" s="3"/>
      <c r="E1521" s="2"/>
      <c r="F1521" s="2"/>
      <c r="G1521" s="2"/>
      <c r="H1521" s="2"/>
    </row>
    <row r="1522" spans="3:9" x14ac:dyDescent="0.35">
      <c r="C1522" s="2"/>
      <c r="D1522" s="3"/>
      <c r="E1522" s="2"/>
      <c r="F1522" s="2"/>
      <c r="G1522" s="2"/>
      <c r="H1522" s="2"/>
    </row>
    <row r="1523" spans="3:9" x14ac:dyDescent="0.35">
      <c r="C1523" s="2"/>
      <c r="D1523" s="3"/>
      <c r="E1523" s="2"/>
      <c r="F1523" s="2"/>
      <c r="G1523" s="2"/>
      <c r="H1523" s="2"/>
    </row>
    <row r="1524" spans="3:9" x14ac:dyDescent="0.35">
      <c r="C1524" s="2"/>
      <c r="D1524" s="3"/>
      <c r="E1524" s="2"/>
      <c r="F1524" s="2"/>
      <c r="G1524" s="2"/>
      <c r="H1524" s="2"/>
    </row>
    <row r="1525" spans="3:9" x14ac:dyDescent="0.35">
      <c r="C1525" s="2"/>
      <c r="D1525" s="3"/>
      <c r="E1525" s="2"/>
      <c r="F1525" s="2"/>
      <c r="G1525" s="2"/>
      <c r="H1525" s="2"/>
    </row>
    <row r="1526" spans="3:9" x14ac:dyDescent="0.35">
      <c r="C1526" s="2"/>
      <c r="D1526" s="3"/>
      <c r="E1526" s="2"/>
      <c r="F1526" s="2"/>
      <c r="G1526" s="2"/>
      <c r="H1526" s="2"/>
    </row>
    <row r="1527" spans="3:9" x14ac:dyDescent="0.35">
      <c r="C1527" s="2"/>
      <c r="D1527" s="3"/>
      <c r="E1527" s="2"/>
      <c r="F1527" s="2"/>
      <c r="G1527" s="2"/>
      <c r="H1527" s="2"/>
    </row>
    <row r="1528" spans="3:9" x14ac:dyDescent="0.35">
      <c r="C1528" s="2"/>
      <c r="D1528" s="3"/>
      <c r="E1528" s="2"/>
      <c r="F1528" s="2"/>
      <c r="G1528" s="2"/>
      <c r="H1528" s="2"/>
    </row>
    <row r="1529" spans="3:9" x14ac:dyDescent="0.35">
      <c r="C1529" s="2"/>
      <c r="D1529" s="3"/>
      <c r="E1529" s="2"/>
      <c r="F1529" s="2"/>
      <c r="G1529" s="2"/>
      <c r="H1529" s="2"/>
    </row>
    <row r="1530" spans="3:9" x14ac:dyDescent="0.35">
      <c r="C1530" s="2"/>
      <c r="D1530" s="3"/>
      <c r="E1530" s="2"/>
      <c r="F1530" s="2"/>
      <c r="G1530" s="2"/>
      <c r="H1530" s="2"/>
    </row>
    <row r="1531" spans="3:9" x14ac:dyDescent="0.35">
      <c r="C1531" s="2"/>
      <c r="D1531" s="3"/>
      <c r="H1531" s="2"/>
      <c r="I1531" s="2"/>
    </row>
    <row r="1532" spans="3:9" x14ac:dyDescent="0.35">
      <c r="C1532" s="2"/>
      <c r="D1532" s="3"/>
      <c r="H1532" s="2"/>
      <c r="I1532" s="2"/>
    </row>
    <row r="1533" spans="3:9" x14ac:dyDescent="0.35">
      <c r="C1533" s="2"/>
      <c r="D1533" s="3"/>
      <c r="H1533" s="2"/>
      <c r="I1533" s="2"/>
    </row>
    <row r="1534" spans="3:9" x14ac:dyDescent="0.35">
      <c r="C1534" s="2"/>
      <c r="D1534" s="3"/>
      <c r="H1534" s="2"/>
      <c r="I1534" s="2"/>
    </row>
    <row r="1535" spans="3:9" x14ac:dyDescent="0.35">
      <c r="C1535" s="2"/>
      <c r="D1535" s="3"/>
      <c r="H1535" s="2"/>
      <c r="I1535" s="2"/>
    </row>
    <row r="1536" spans="3:9" x14ac:dyDescent="0.35">
      <c r="C1536" s="2"/>
      <c r="D1536" s="3"/>
      <c r="H1536" s="2"/>
      <c r="I1536" s="2"/>
    </row>
    <row r="1537" spans="3:9" x14ac:dyDescent="0.35">
      <c r="C1537" s="2"/>
      <c r="D1537" s="3"/>
      <c r="H1537" s="2"/>
      <c r="I1537" s="2"/>
    </row>
    <row r="1538" spans="3:9" x14ac:dyDescent="0.35">
      <c r="C1538" s="2"/>
      <c r="D1538" s="3"/>
      <c r="H1538" s="2"/>
      <c r="I1538" s="2"/>
    </row>
    <row r="1539" spans="3:9" x14ac:dyDescent="0.35">
      <c r="C1539" s="2"/>
      <c r="D1539" s="3"/>
      <c r="H1539" s="2"/>
      <c r="I1539" s="2"/>
    </row>
    <row r="1540" spans="3:9" x14ac:dyDescent="0.35">
      <c r="C1540" s="2"/>
      <c r="D1540" s="3"/>
      <c r="H1540" s="2"/>
      <c r="I1540" s="2"/>
    </row>
    <row r="1541" spans="3:9" x14ac:dyDescent="0.35">
      <c r="C1541" s="2"/>
      <c r="D1541" s="3"/>
      <c r="E1541" s="2"/>
      <c r="F1541" s="2"/>
      <c r="G1541" s="2"/>
      <c r="I1541" s="2"/>
    </row>
    <row r="1542" spans="3:9" x14ac:dyDescent="0.35">
      <c r="C1542" s="2"/>
      <c r="D1542" s="3"/>
      <c r="E1542" s="2"/>
      <c r="F1542" s="2"/>
      <c r="G1542" s="2"/>
      <c r="H1542" s="2"/>
    </row>
    <row r="1543" spans="3:9" x14ac:dyDescent="0.35">
      <c r="C1543" s="2"/>
      <c r="D1543" s="3"/>
      <c r="E1543" s="2"/>
      <c r="F1543" s="2"/>
      <c r="G1543" s="2"/>
      <c r="H1543" s="2"/>
    </row>
    <row r="1544" spans="3:9" x14ac:dyDescent="0.35">
      <c r="C1544" s="2"/>
      <c r="D1544" s="3"/>
      <c r="E1544" s="2"/>
      <c r="F1544" s="2"/>
      <c r="G1544" s="2"/>
      <c r="H1544" s="2"/>
    </row>
    <row r="1545" spans="3:9" x14ac:dyDescent="0.35">
      <c r="C1545" s="2"/>
      <c r="D1545" s="3"/>
      <c r="E1545" s="2"/>
      <c r="F1545" s="2"/>
      <c r="G1545" s="2"/>
      <c r="H1545" s="2"/>
    </row>
    <row r="1546" spans="3:9" x14ac:dyDescent="0.35">
      <c r="C1546" s="2"/>
      <c r="D1546" s="3"/>
      <c r="E1546" s="2"/>
      <c r="F1546" s="2"/>
      <c r="G1546" s="2"/>
      <c r="H1546" s="2"/>
    </row>
    <row r="1547" spans="3:9" x14ac:dyDescent="0.35">
      <c r="C1547" s="2"/>
      <c r="D1547" s="3"/>
      <c r="E1547" s="2"/>
      <c r="F1547" s="2"/>
      <c r="G1547" s="2"/>
      <c r="H1547" s="2"/>
    </row>
    <row r="1548" spans="3:9" x14ac:dyDescent="0.35">
      <c r="C1548" s="2"/>
      <c r="D1548" s="3"/>
      <c r="E1548" s="2"/>
      <c r="F1548" s="2"/>
      <c r="G1548" s="2"/>
      <c r="H1548" s="2"/>
    </row>
    <row r="1549" spans="3:9" x14ac:dyDescent="0.35">
      <c r="C1549" s="2"/>
      <c r="D1549" s="3"/>
      <c r="E1549" s="2"/>
      <c r="F1549" s="2"/>
      <c r="G1549" s="2"/>
      <c r="H1549" s="2"/>
    </row>
    <row r="1550" spans="3:9" x14ac:dyDescent="0.35">
      <c r="C1550" s="2"/>
      <c r="D1550" s="3"/>
      <c r="E1550" s="2"/>
      <c r="F1550" s="2"/>
      <c r="G1550" s="2"/>
      <c r="H1550" s="2"/>
    </row>
    <row r="1551" spans="3:9" x14ac:dyDescent="0.35">
      <c r="C1551" s="2"/>
      <c r="D1551" s="3"/>
      <c r="E1551" s="2"/>
      <c r="F1551" s="2"/>
      <c r="G1551" s="2"/>
      <c r="H1551" s="2"/>
    </row>
    <row r="1552" spans="3:9" x14ac:dyDescent="0.35">
      <c r="C1552" s="2"/>
      <c r="D1552" s="3"/>
      <c r="H1552" s="2"/>
    </row>
    <row r="1553" spans="3:9" x14ac:dyDescent="0.35">
      <c r="C1553" s="2"/>
      <c r="D1553" s="3"/>
      <c r="H1553" s="2"/>
    </row>
    <row r="1554" spans="3:9" x14ac:dyDescent="0.35">
      <c r="C1554" s="2"/>
      <c r="D1554" s="3"/>
      <c r="H1554" s="2"/>
      <c r="I1554" s="2"/>
    </row>
    <row r="1555" spans="3:9" x14ac:dyDescent="0.35">
      <c r="C1555" s="2"/>
      <c r="D1555" s="3"/>
      <c r="H1555" s="2"/>
      <c r="I1555" s="2"/>
    </row>
    <row r="1556" spans="3:9" x14ac:dyDescent="0.35">
      <c r="C1556" s="2"/>
      <c r="D1556" s="3"/>
      <c r="H1556" s="2"/>
    </row>
    <row r="1557" spans="3:9" x14ac:dyDescent="0.35">
      <c r="C1557" s="2"/>
      <c r="D1557" s="3"/>
      <c r="H1557" s="2"/>
    </row>
    <row r="1558" spans="3:9" x14ac:dyDescent="0.35">
      <c r="C1558" s="2"/>
      <c r="D1558" s="3"/>
      <c r="H1558" s="2"/>
    </row>
    <row r="1559" spans="3:9" x14ac:dyDescent="0.35">
      <c r="C1559" s="2"/>
      <c r="D1559" s="3"/>
      <c r="H1559" s="2"/>
    </row>
    <row r="1560" spans="3:9" x14ac:dyDescent="0.35">
      <c r="C1560" s="2"/>
      <c r="D1560" s="3"/>
      <c r="H1560" s="2"/>
      <c r="I1560" s="2"/>
    </row>
    <row r="1561" spans="3:9" x14ac:dyDescent="0.35">
      <c r="C1561" s="2"/>
      <c r="D1561" s="3"/>
      <c r="H1561" s="2"/>
      <c r="I1561" s="2"/>
    </row>
    <row r="1562" spans="3:9" x14ac:dyDescent="0.35">
      <c r="C1562" s="2"/>
      <c r="D1562" s="3"/>
      <c r="E1562" s="2"/>
      <c r="F1562" s="2"/>
      <c r="G1562" s="2"/>
      <c r="I1562" s="2"/>
    </row>
    <row r="1563" spans="3:9" x14ac:dyDescent="0.35">
      <c r="C1563" s="2"/>
      <c r="D1563" s="3"/>
      <c r="E1563" s="2"/>
      <c r="F1563" s="2"/>
      <c r="G1563" s="2"/>
      <c r="H1563" s="2"/>
    </row>
    <row r="1564" spans="3:9" x14ac:dyDescent="0.35">
      <c r="C1564" s="2"/>
      <c r="D1564" s="3"/>
      <c r="E1564" s="2"/>
      <c r="F1564" s="2"/>
      <c r="G1564" s="2"/>
      <c r="H1564" s="2"/>
    </row>
    <row r="1565" spans="3:9" x14ac:dyDescent="0.35">
      <c r="C1565" s="2"/>
      <c r="D1565" s="3"/>
      <c r="E1565" s="2"/>
      <c r="F1565" s="2"/>
      <c r="G1565" s="2"/>
      <c r="H1565" s="2"/>
    </row>
    <row r="1566" spans="3:9" x14ac:dyDescent="0.35">
      <c r="C1566" s="2"/>
      <c r="D1566" s="3"/>
      <c r="E1566" s="2"/>
      <c r="F1566" s="2"/>
      <c r="G1566" s="2"/>
      <c r="H1566" s="2"/>
    </row>
    <row r="1567" spans="3:9" x14ac:dyDescent="0.35">
      <c r="C1567" s="2"/>
      <c r="D1567" s="3"/>
      <c r="H1567" s="2"/>
      <c r="I1567" s="2"/>
    </row>
    <row r="1568" spans="3:9" x14ac:dyDescent="0.35">
      <c r="C1568" s="2"/>
      <c r="D1568" s="3"/>
      <c r="H1568" s="2"/>
      <c r="I1568" s="2"/>
    </row>
    <row r="1569" spans="3:9" x14ac:dyDescent="0.35">
      <c r="C1569" s="2"/>
      <c r="D1569" s="3"/>
      <c r="H1569" s="2"/>
      <c r="I1569" s="2"/>
    </row>
    <row r="1570" spans="3:9" x14ac:dyDescent="0.35">
      <c r="C1570" s="2"/>
      <c r="D1570" s="3"/>
      <c r="H1570" s="2"/>
      <c r="I1570" s="2"/>
    </row>
    <row r="1571" spans="3:9" x14ac:dyDescent="0.35">
      <c r="C1571" s="2"/>
      <c r="D1571" s="3"/>
      <c r="H1571" s="2"/>
      <c r="I1571" s="2"/>
    </row>
    <row r="1572" spans="3:9" x14ac:dyDescent="0.35">
      <c r="C1572" s="2"/>
      <c r="D1572" s="3"/>
      <c r="H1572" s="2"/>
      <c r="I1572" s="2"/>
    </row>
    <row r="1573" spans="3:9" x14ac:dyDescent="0.35">
      <c r="C1573" s="2"/>
      <c r="D1573" s="3"/>
      <c r="H1573" s="2"/>
      <c r="I1573" s="2"/>
    </row>
    <row r="1574" spans="3:9" x14ac:dyDescent="0.35">
      <c r="C1574" s="2"/>
      <c r="D1574" s="3"/>
      <c r="H1574" s="2"/>
      <c r="I1574" s="2"/>
    </row>
    <row r="1575" spans="3:9" x14ac:dyDescent="0.35">
      <c r="C1575" s="2"/>
      <c r="D1575" s="3"/>
      <c r="H1575" s="2"/>
      <c r="I1575" s="2"/>
    </row>
    <row r="1576" spans="3:9" x14ac:dyDescent="0.35">
      <c r="C1576" s="2"/>
      <c r="D1576" s="3"/>
      <c r="H1576" s="2"/>
      <c r="I1576" s="2"/>
    </row>
    <row r="1577" spans="3:9" x14ac:dyDescent="0.35">
      <c r="C1577" s="2"/>
      <c r="D1577" s="3"/>
      <c r="E1577" s="2"/>
      <c r="F1577" s="2"/>
      <c r="G1577" s="2"/>
      <c r="I1577" s="2"/>
    </row>
    <row r="1578" spans="3:9" x14ac:dyDescent="0.35">
      <c r="C1578" s="2"/>
      <c r="D1578" s="3"/>
      <c r="E1578" s="2"/>
      <c r="F1578" s="2"/>
      <c r="G1578" s="2"/>
      <c r="H1578" s="2"/>
    </row>
    <row r="1579" spans="3:9" x14ac:dyDescent="0.35">
      <c r="C1579" s="2"/>
      <c r="D1579" s="3"/>
      <c r="E1579" s="2"/>
      <c r="F1579" s="2"/>
      <c r="G1579" s="2"/>
      <c r="H1579" s="2"/>
    </row>
    <row r="1580" spans="3:9" x14ac:dyDescent="0.35">
      <c r="C1580" s="2"/>
      <c r="D1580" s="3"/>
      <c r="E1580" s="2"/>
      <c r="F1580" s="2"/>
      <c r="G1580" s="2"/>
      <c r="H1580" s="2"/>
    </row>
    <row r="1581" spans="3:9" x14ac:dyDescent="0.35">
      <c r="C1581" s="2"/>
      <c r="D1581" s="3"/>
      <c r="E1581" s="2"/>
      <c r="F1581" s="2"/>
      <c r="G1581" s="2"/>
      <c r="H1581" s="2"/>
    </row>
    <row r="1582" spans="3:9" x14ac:dyDescent="0.35">
      <c r="C1582" s="2"/>
      <c r="D1582" s="3"/>
      <c r="E1582" s="2"/>
      <c r="F1582" s="2"/>
      <c r="G1582" s="2"/>
      <c r="H1582" s="2"/>
    </row>
    <row r="1583" spans="3:9" x14ac:dyDescent="0.35">
      <c r="C1583" s="2"/>
      <c r="D1583" s="3"/>
      <c r="E1583" s="2"/>
      <c r="F1583" s="2"/>
      <c r="G1583" s="2"/>
      <c r="H1583" s="2"/>
    </row>
    <row r="1584" spans="3:9" x14ac:dyDescent="0.35">
      <c r="C1584" s="2"/>
      <c r="D1584" s="3"/>
      <c r="E1584" s="2"/>
      <c r="F1584" s="2"/>
      <c r="G1584" s="2"/>
      <c r="H1584" s="2"/>
    </row>
    <row r="1585" spans="3:9" x14ac:dyDescent="0.35">
      <c r="C1585" s="2"/>
      <c r="D1585" s="3"/>
      <c r="E1585" s="2"/>
      <c r="F1585" s="2"/>
      <c r="G1585" s="2"/>
      <c r="H1585" s="2"/>
      <c r="I1585" s="2"/>
    </row>
    <row r="1586" spans="3:9" x14ac:dyDescent="0.35">
      <c r="C1586" s="2"/>
      <c r="D1586" s="3"/>
      <c r="E1586" s="2"/>
      <c r="F1586" s="2"/>
      <c r="G1586" s="2"/>
      <c r="H1586" s="2"/>
      <c r="I1586" s="2"/>
    </row>
    <row r="1587" spans="3:9" x14ac:dyDescent="0.35">
      <c r="C1587" s="2"/>
      <c r="D1587" s="3"/>
      <c r="H1587" s="2"/>
    </row>
    <row r="1588" spans="3:9" x14ac:dyDescent="0.35">
      <c r="C1588" s="2"/>
      <c r="D1588" s="3"/>
      <c r="H1588" s="2"/>
    </row>
    <row r="1589" spans="3:9" x14ac:dyDescent="0.35">
      <c r="C1589" s="2"/>
      <c r="D1589" s="3"/>
      <c r="H1589" s="2"/>
      <c r="I1589" s="2"/>
    </row>
    <row r="1590" spans="3:9" x14ac:dyDescent="0.35">
      <c r="C1590" s="2"/>
      <c r="D1590" s="3"/>
      <c r="H1590" s="2"/>
      <c r="I1590" s="2"/>
    </row>
    <row r="1591" spans="3:9" x14ac:dyDescent="0.35">
      <c r="C1591" s="2"/>
      <c r="D1591" s="3"/>
      <c r="H1591" s="2"/>
    </row>
    <row r="1592" spans="3:9" x14ac:dyDescent="0.35">
      <c r="C1592" s="2"/>
      <c r="D1592" s="3"/>
      <c r="H1592" s="2"/>
    </row>
    <row r="1593" spans="3:9" x14ac:dyDescent="0.35">
      <c r="C1593" s="2"/>
      <c r="D1593" s="3"/>
      <c r="H1593" s="2"/>
    </row>
    <row r="1594" spans="3:9" x14ac:dyDescent="0.35">
      <c r="C1594" s="2"/>
      <c r="D1594" s="3"/>
      <c r="H1594" s="2"/>
    </row>
    <row r="1595" spans="3:9" x14ac:dyDescent="0.35">
      <c r="C1595" s="2"/>
      <c r="D1595" s="3"/>
      <c r="H1595" s="2"/>
      <c r="I1595" s="2"/>
    </row>
    <row r="1596" spans="3:9" x14ac:dyDescent="0.35">
      <c r="C1596" s="2"/>
      <c r="D1596" s="3"/>
      <c r="H1596" s="2"/>
      <c r="I1596" s="2"/>
    </row>
    <row r="1597" spans="3:9" x14ac:dyDescent="0.35">
      <c r="C1597" s="2"/>
      <c r="D1597" s="3"/>
      <c r="E1597" s="2"/>
      <c r="F1597" s="2"/>
      <c r="G1597" s="2"/>
      <c r="I1597" s="2"/>
    </row>
    <row r="1598" spans="3:9" x14ac:dyDescent="0.35">
      <c r="C1598" s="2"/>
      <c r="D1598" s="3"/>
      <c r="E1598" s="2"/>
      <c r="F1598" s="2"/>
      <c r="G1598" s="2"/>
      <c r="H1598" s="2"/>
    </row>
    <row r="1599" spans="3:9" x14ac:dyDescent="0.35">
      <c r="C1599" s="2"/>
      <c r="D1599" s="3"/>
      <c r="E1599" s="2"/>
      <c r="F1599" s="2"/>
      <c r="G1599" s="2"/>
      <c r="H1599" s="2"/>
    </row>
    <row r="1600" spans="3:9" x14ac:dyDescent="0.35">
      <c r="C1600" s="2"/>
      <c r="D1600" s="3"/>
      <c r="E1600" s="2"/>
      <c r="F1600" s="2"/>
      <c r="G1600" s="2"/>
      <c r="H1600" s="2"/>
    </row>
    <row r="1601" spans="3:9" x14ac:dyDescent="0.35">
      <c r="C1601" s="2"/>
      <c r="D1601" s="3"/>
      <c r="E1601" s="2"/>
      <c r="F1601" s="2"/>
      <c r="G1601" s="2"/>
      <c r="H1601" s="2"/>
    </row>
    <row r="1602" spans="3:9" x14ac:dyDescent="0.35">
      <c r="C1602" s="2"/>
      <c r="D1602" s="3"/>
      <c r="H1602" s="2"/>
    </row>
    <row r="1603" spans="3:9" x14ac:dyDescent="0.35">
      <c r="C1603" s="2"/>
      <c r="D1603" s="3"/>
      <c r="H1603" s="2"/>
    </row>
    <row r="1604" spans="3:9" x14ac:dyDescent="0.35">
      <c r="C1604" s="2"/>
      <c r="D1604" s="3"/>
      <c r="H1604" s="2"/>
      <c r="I1604" s="2"/>
    </row>
    <row r="1605" spans="3:9" x14ac:dyDescent="0.35">
      <c r="C1605" s="2"/>
      <c r="D1605" s="3"/>
      <c r="H1605" s="2"/>
      <c r="I1605" s="2"/>
    </row>
    <row r="1606" spans="3:9" x14ac:dyDescent="0.35">
      <c r="C1606" s="2"/>
      <c r="D1606" s="3"/>
      <c r="H1606" s="2"/>
    </row>
    <row r="1607" spans="3:9" x14ac:dyDescent="0.35">
      <c r="C1607" s="2"/>
      <c r="D1607" s="3"/>
      <c r="H1607" s="2"/>
    </row>
    <row r="1608" spans="3:9" x14ac:dyDescent="0.35">
      <c r="C1608" s="2"/>
      <c r="D1608" s="3"/>
      <c r="H1608" s="2"/>
    </row>
    <row r="1609" spans="3:9" x14ac:dyDescent="0.35">
      <c r="C1609" s="2"/>
      <c r="D1609" s="3"/>
      <c r="H1609" s="2"/>
    </row>
    <row r="1610" spans="3:9" x14ac:dyDescent="0.35">
      <c r="C1610" s="2"/>
      <c r="D1610" s="3"/>
      <c r="H1610" s="2"/>
      <c r="I1610" s="2"/>
    </row>
    <row r="1611" spans="3:9" x14ac:dyDescent="0.35">
      <c r="C1611" s="2"/>
      <c r="D1611" s="3"/>
      <c r="H1611" s="2"/>
      <c r="I1611" s="2"/>
    </row>
    <row r="1612" spans="3:9" x14ac:dyDescent="0.35">
      <c r="C1612" s="2"/>
      <c r="D1612" s="3"/>
      <c r="E1612" s="2"/>
      <c r="F1612" s="2"/>
      <c r="G1612" s="2"/>
      <c r="I1612" s="2"/>
    </row>
    <row r="1613" spans="3:9" x14ac:dyDescent="0.35">
      <c r="C1613" s="2"/>
      <c r="D1613" s="3"/>
      <c r="E1613" s="2"/>
      <c r="F1613" s="2"/>
      <c r="G1613" s="2"/>
      <c r="H1613" s="2"/>
    </row>
    <row r="1614" spans="3:9" x14ac:dyDescent="0.35">
      <c r="C1614" s="2"/>
      <c r="D1614" s="3"/>
      <c r="E1614" s="2"/>
      <c r="F1614" s="2"/>
      <c r="G1614" s="2"/>
      <c r="H1614" s="2"/>
    </row>
    <row r="1615" spans="3:9" x14ac:dyDescent="0.35">
      <c r="C1615" s="2"/>
      <c r="D1615" s="3"/>
      <c r="E1615" s="2"/>
      <c r="F1615" s="2"/>
      <c r="G1615" s="2"/>
      <c r="H1615" s="2"/>
    </row>
    <row r="1616" spans="3:9" x14ac:dyDescent="0.35">
      <c r="C1616" s="2"/>
      <c r="D1616" s="3"/>
      <c r="E1616" s="2"/>
      <c r="F1616" s="2"/>
      <c r="G1616" s="2"/>
      <c r="H1616" s="2"/>
    </row>
    <row r="1617" spans="3:9" x14ac:dyDescent="0.35">
      <c r="C1617" s="2"/>
      <c r="D1617" s="3"/>
      <c r="H1617" s="2"/>
    </row>
    <row r="1618" spans="3:9" x14ac:dyDescent="0.35">
      <c r="C1618" s="2"/>
      <c r="D1618" s="3"/>
      <c r="H1618" s="2"/>
    </row>
    <row r="1619" spans="3:9" x14ac:dyDescent="0.35">
      <c r="C1619" s="2"/>
      <c r="D1619" s="3"/>
      <c r="H1619" s="2"/>
      <c r="I1619" s="2"/>
    </row>
    <row r="1620" spans="3:9" x14ac:dyDescent="0.35">
      <c r="C1620" s="2"/>
      <c r="D1620" s="3"/>
      <c r="H1620" s="2"/>
      <c r="I1620" s="2"/>
    </row>
    <row r="1621" spans="3:9" x14ac:dyDescent="0.35">
      <c r="C1621" s="2"/>
      <c r="D1621" s="3"/>
      <c r="H1621" s="2"/>
    </row>
    <row r="1622" spans="3:9" x14ac:dyDescent="0.35">
      <c r="C1622" s="2"/>
      <c r="D1622" s="3"/>
      <c r="H1622" s="2"/>
    </row>
    <row r="1623" spans="3:9" x14ac:dyDescent="0.35">
      <c r="C1623" s="2"/>
      <c r="D1623" s="3"/>
      <c r="H1623" s="2"/>
    </row>
    <row r="1624" spans="3:9" x14ac:dyDescent="0.35">
      <c r="C1624" s="2"/>
      <c r="D1624" s="3"/>
      <c r="H1624" s="2"/>
    </row>
    <row r="1625" spans="3:9" x14ac:dyDescent="0.35">
      <c r="C1625" s="2"/>
      <c r="D1625" s="3"/>
      <c r="H1625" s="2"/>
      <c r="I1625" s="2"/>
    </row>
    <row r="1626" spans="3:9" x14ac:dyDescent="0.35">
      <c r="C1626" s="2"/>
      <c r="D1626" s="3"/>
      <c r="H1626" s="2"/>
      <c r="I1626" s="2"/>
    </row>
    <row r="1627" spans="3:9" x14ac:dyDescent="0.35">
      <c r="C1627" s="2"/>
      <c r="D1627" s="3"/>
      <c r="E1627" s="2"/>
      <c r="F1627" s="2"/>
      <c r="G1627" s="2"/>
      <c r="I1627" s="2"/>
    </row>
    <row r="1628" spans="3:9" x14ac:dyDescent="0.35">
      <c r="C1628" s="2"/>
      <c r="D1628" s="3"/>
      <c r="E1628" s="2"/>
      <c r="F1628" s="2"/>
      <c r="G1628" s="2"/>
      <c r="H1628" s="2"/>
    </row>
    <row r="1629" spans="3:9" x14ac:dyDescent="0.35">
      <c r="C1629" s="2"/>
      <c r="D1629" s="3"/>
      <c r="E1629" s="2"/>
      <c r="F1629" s="2"/>
      <c r="G1629" s="2"/>
      <c r="H1629" s="2"/>
    </row>
    <row r="1630" spans="3:9" x14ac:dyDescent="0.35">
      <c r="C1630" s="2"/>
      <c r="D1630" s="3"/>
      <c r="E1630" s="2"/>
      <c r="F1630" s="2"/>
      <c r="G1630" s="2"/>
      <c r="H1630" s="2"/>
    </row>
    <row r="1631" spans="3:9" x14ac:dyDescent="0.35">
      <c r="C1631" s="2"/>
      <c r="D1631" s="3"/>
      <c r="E1631" s="2"/>
      <c r="F1631" s="2"/>
      <c r="G1631" s="2"/>
      <c r="H1631" s="2"/>
    </row>
    <row r="1632" spans="3:9" x14ac:dyDescent="0.35">
      <c r="C1632" s="2"/>
      <c r="D1632" s="3"/>
      <c r="H1632" s="2"/>
    </row>
    <row r="1633" spans="3:9" x14ac:dyDescent="0.35">
      <c r="C1633" s="2"/>
      <c r="D1633" s="3"/>
      <c r="H1633" s="2"/>
    </row>
    <row r="1634" spans="3:9" x14ac:dyDescent="0.35">
      <c r="C1634" s="2"/>
      <c r="D1634" s="3"/>
      <c r="H1634" s="2"/>
      <c r="I1634" s="2"/>
    </row>
    <row r="1635" spans="3:9" x14ac:dyDescent="0.35">
      <c r="C1635" s="2"/>
      <c r="D1635" s="3"/>
      <c r="H1635" s="2"/>
      <c r="I1635" s="2"/>
    </row>
    <row r="1636" spans="3:9" x14ac:dyDescent="0.35">
      <c r="C1636" s="2"/>
      <c r="D1636" s="3"/>
      <c r="H1636" s="2"/>
    </row>
    <row r="1637" spans="3:9" x14ac:dyDescent="0.35">
      <c r="C1637" s="2"/>
      <c r="D1637" s="3"/>
      <c r="H1637" s="2"/>
    </row>
    <row r="1638" spans="3:9" x14ac:dyDescent="0.35">
      <c r="C1638" s="2"/>
      <c r="D1638" s="3"/>
      <c r="H1638" s="2"/>
    </row>
    <row r="1639" spans="3:9" x14ac:dyDescent="0.35">
      <c r="C1639" s="2"/>
      <c r="D1639" s="3"/>
      <c r="H1639" s="2"/>
    </row>
    <row r="1640" spans="3:9" x14ac:dyDescent="0.35">
      <c r="C1640" s="2"/>
      <c r="D1640" s="3"/>
      <c r="H1640" s="2"/>
      <c r="I1640" s="2"/>
    </row>
    <row r="1641" spans="3:9" x14ac:dyDescent="0.35">
      <c r="C1641" s="2"/>
      <c r="D1641" s="3"/>
      <c r="H1641" s="2"/>
      <c r="I1641" s="2"/>
    </row>
    <row r="1642" spans="3:9" x14ac:dyDescent="0.35">
      <c r="C1642" s="2"/>
      <c r="D1642" s="3"/>
      <c r="E1642" s="2"/>
      <c r="F1642" s="2"/>
      <c r="G1642" s="2"/>
      <c r="I1642" s="2"/>
    </row>
    <row r="1643" spans="3:9" x14ac:dyDescent="0.35">
      <c r="C1643" s="2"/>
      <c r="D1643" s="3"/>
      <c r="E1643" s="2"/>
      <c r="F1643" s="2"/>
      <c r="G1643" s="2"/>
      <c r="H1643" s="2"/>
    </row>
    <row r="1644" spans="3:9" x14ac:dyDescent="0.35">
      <c r="C1644" s="2"/>
      <c r="D1644" s="3"/>
      <c r="E1644" s="2"/>
      <c r="F1644" s="2"/>
      <c r="G1644" s="2"/>
      <c r="H1644" s="2"/>
    </row>
    <row r="1645" spans="3:9" x14ac:dyDescent="0.35">
      <c r="C1645" s="2"/>
      <c r="D1645" s="3"/>
      <c r="E1645" s="2"/>
      <c r="F1645" s="2"/>
      <c r="G1645" s="2"/>
      <c r="H1645" s="2"/>
    </row>
    <row r="1646" spans="3:9" x14ac:dyDescent="0.35">
      <c r="C1646" s="2"/>
      <c r="D1646" s="3"/>
      <c r="E1646" s="2"/>
      <c r="F1646" s="2"/>
      <c r="G1646" s="2"/>
      <c r="H1646" s="2"/>
    </row>
    <row r="1647" spans="3:9" x14ac:dyDescent="0.35">
      <c r="C1647" s="2"/>
      <c r="D1647" s="3"/>
      <c r="H1647" s="2"/>
      <c r="I1647" s="2"/>
    </row>
    <row r="1648" spans="3:9" x14ac:dyDescent="0.35">
      <c r="C1648" s="2"/>
      <c r="D1648" s="3"/>
      <c r="H1648" s="2"/>
      <c r="I1648" s="2"/>
    </row>
    <row r="1649" spans="3:9" x14ac:dyDescent="0.35">
      <c r="C1649" s="2"/>
      <c r="D1649" s="3"/>
      <c r="H1649" s="2"/>
      <c r="I1649" s="2"/>
    </row>
    <row r="1650" spans="3:9" x14ac:dyDescent="0.35">
      <c r="C1650" s="2"/>
      <c r="D1650" s="3"/>
      <c r="H1650" s="2"/>
      <c r="I1650" s="2"/>
    </row>
    <row r="1651" spans="3:9" x14ac:dyDescent="0.35">
      <c r="C1651" s="2"/>
      <c r="D1651" s="3"/>
      <c r="H1651" s="2"/>
      <c r="I1651" s="2"/>
    </row>
    <row r="1652" spans="3:9" x14ac:dyDescent="0.35">
      <c r="C1652" s="2"/>
      <c r="D1652" s="3"/>
      <c r="H1652" s="2"/>
      <c r="I1652" s="2"/>
    </row>
    <row r="1653" spans="3:9" x14ac:dyDescent="0.35">
      <c r="C1653" s="2"/>
      <c r="D1653" s="3"/>
      <c r="H1653" s="2"/>
      <c r="I1653" s="2"/>
    </row>
    <row r="1654" spans="3:9" x14ac:dyDescent="0.35">
      <c r="C1654" s="2"/>
      <c r="D1654" s="3"/>
      <c r="H1654" s="2"/>
      <c r="I1654" s="2"/>
    </row>
    <row r="1655" spans="3:9" x14ac:dyDescent="0.35">
      <c r="C1655" s="2"/>
      <c r="D1655" s="3"/>
      <c r="H1655" s="2"/>
      <c r="I1655" s="2"/>
    </row>
    <row r="1656" spans="3:9" x14ac:dyDescent="0.35">
      <c r="C1656" s="2"/>
      <c r="D1656" s="3"/>
      <c r="H1656" s="2"/>
      <c r="I1656" s="2"/>
    </row>
    <row r="1657" spans="3:9" x14ac:dyDescent="0.35">
      <c r="C1657" s="2"/>
      <c r="D1657" s="3"/>
      <c r="E1657" s="2"/>
      <c r="F1657" s="2"/>
      <c r="G1657" s="2"/>
      <c r="I1657" s="2"/>
    </row>
    <row r="1658" spans="3:9" x14ac:dyDescent="0.35">
      <c r="C1658" s="2"/>
      <c r="D1658" s="3"/>
      <c r="E1658" s="2"/>
      <c r="F1658" s="2"/>
      <c r="G1658" s="2"/>
      <c r="H1658" s="2"/>
    </row>
    <row r="1659" spans="3:9" x14ac:dyDescent="0.35">
      <c r="C1659" s="2"/>
      <c r="D1659" s="3"/>
      <c r="E1659" s="2"/>
      <c r="F1659" s="2"/>
      <c r="G1659" s="2"/>
      <c r="H1659" s="2"/>
    </row>
    <row r="1660" spans="3:9" x14ac:dyDescent="0.35">
      <c r="C1660" s="2"/>
      <c r="D1660" s="3"/>
      <c r="E1660" s="2"/>
      <c r="F1660" s="2"/>
      <c r="G1660" s="2"/>
      <c r="H1660" s="2"/>
    </row>
    <row r="1661" spans="3:9" x14ac:dyDescent="0.35">
      <c r="C1661" s="2"/>
      <c r="D1661" s="3"/>
      <c r="E1661" s="2"/>
      <c r="F1661" s="2"/>
      <c r="G1661" s="2"/>
      <c r="H1661" s="2"/>
    </row>
    <row r="1662" spans="3:9" x14ac:dyDescent="0.35">
      <c r="C1662" s="2"/>
      <c r="D1662" s="3"/>
      <c r="E1662" s="2"/>
      <c r="F1662" s="2"/>
      <c r="G1662" s="2"/>
      <c r="H1662" s="2"/>
    </row>
    <row r="1663" spans="3:9" x14ac:dyDescent="0.35">
      <c r="C1663" s="2"/>
      <c r="D1663" s="3"/>
      <c r="E1663" s="2"/>
      <c r="F1663" s="2"/>
      <c r="G1663" s="2"/>
      <c r="H1663" s="2"/>
    </row>
    <row r="1664" spans="3:9" x14ac:dyDescent="0.35">
      <c r="C1664" s="2"/>
      <c r="D1664" s="3"/>
      <c r="E1664" s="2"/>
      <c r="F1664" s="2"/>
      <c r="G1664" s="2"/>
      <c r="H1664" s="2"/>
    </row>
    <row r="1665" spans="3:9" x14ac:dyDescent="0.35">
      <c r="C1665" s="2"/>
      <c r="D1665" s="3"/>
      <c r="E1665" s="2"/>
      <c r="F1665" s="2"/>
      <c r="G1665" s="2"/>
      <c r="H1665" s="2"/>
    </row>
    <row r="1666" spans="3:9" x14ac:dyDescent="0.35">
      <c r="C1666" s="2"/>
      <c r="D1666" s="3"/>
      <c r="E1666" s="2"/>
      <c r="F1666" s="2"/>
      <c r="G1666" s="2"/>
      <c r="H1666" s="2"/>
    </row>
    <row r="1667" spans="3:9" x14ac:dyDescent="0.35">
      <c r="C1667" s="2"/>
      <c r="D1667" s="3"/>
      <c r="E1667" s="2"/>
      <c r="F1667" s="2"/>
      <c r="G1667" s="2"/>
      <c r="H1667" s="2"/>
    </row>
    <row r="1668" spans="3:9" x14ac:dyDescent="0.35">
      <c r="C1668" s="2"/>
      <c r="D1668" s="3"/>
      <c r="H1668" s="2"/>
      <c r="I1668" s="2"/>
    </row>
    <row r="1669" spans="3:9" x14ac:dyDescent="0.35">
      <c r="C1669" s="2"/>
      <c r="D1669" s="3"/>
      <c r="H1669" s="2"/>
      <c r="I1669" s="2"/>
    </row>
    <row r="1670" spans="3:9" x14ac:dyDescent="0.35">
      <c r="C1670" s="2"/>
      <c r="D1670" s="3"/>
      <c r="H1670" s="2"/>
      <c r="I1670" s="2"/>
    </row>
    <row r="1671" spans="3:9" x14ac:dyDescent="0.35">
      <c r="C1671" s="2"/>
      <c r="D1671" s="3"/>
      <c r="H1671" s="2"/>
      <c r="I1671" s="2"/>
    </row>
    <row r="1672" spans="3:9" x14ac:dyDescent="0.35">
      <c r="C1672" s="2"/>
      <c r="D1672" s="3"/>
      <c r="H1672" s="2"/>
      <c r="I1672" s="2"/>
    </row>
    <row r="1673" spans="3:9" x14ac:dyDescent="0.35">
      <c r="C1673" s="2"/>
      <c r="D1673" s="3"/>
      <c r="H1673" s="2"/>
      <c r="I1673" s="2"/>
    </row>
    <row r="1674" spans="3:9" x14ac:dyDescent="0.35">
      <c r="C1674" s="2"/>
      <c r="D1674" s="3"/>
      <c r="H1674" s="2"/>
      <c r="I1674" s="2"/>
    </row>
    <row r="1675" spans="3:9" x14ac:dyDescent="0.35">
      <c r="C1675" s="2"/>
      <c r="D1675" s="3"/>
      <c r="H1675" s="2"/>
      <c r="I1675" s="2"/>
    </row>
    <row r="1676" spans="3:9" x14ac:dyDescent="0.35">
      <c r="C1676" s="2"/>
      <c r="D1676" s="3"/>
      <c r="H1676" s="2"/>
      <c r="I1676" s="2"/>
    </row>
    <row r="1677" spans="3:9" x14ac:dyDescent="0.35">
      <c r="C1677" s="2"/>
      <c r="D1677" s="3"/>
      <c r="H1677" s="2"/>
      <c r="I1677" s="2"/>
    </row>
    <row r="1678" spans="3:9" x14ac:dyDescent="0.35">
      <c r="C1678" s="2"/>
      <c r="D1678" s="3"/>
      <c r="E1678" s="2"/>
      <c r="F1678" s="2"/>
      <c r="G1678" s="2"/>
      <c r="I1678" s="2"/>
    </row>
    <row r="1679" spans="3:9" x14ac:dyDescent="0.35">
      <c r="C1679" s="2"/>
      <c r="D1679" s="3"/>
      <c r="E1679" s="2"/>
      <c r="F1679" s="2"/>
      <c r="G1679" s="2"/>
      <c r="H1679" s="2"/>
    </row>
    <row r="1680" spans="3:9" x14ac:dyDescent="0.35">
      <c r="C1680" s="2"/>
      <c r="D1680" s="3"/>
      <c r="E1680" s="2"/>
      <c r="F1680" s="2"/>
      <c r="G1680" s="2"/>
      <c r="H1680" s="2"/>
    </row>
    <row r="1681" spans="3:9" x14ac:dyDescent="0.35">
      <c r="C1681" s="2"/>
      <c r="D1681" s="3"/>
      <c r="E1681" s="2"/>
      <c r="F1681" s="2"/>
      <c r="G1681" s="2"/>
      <c r="H1681" s="2"/>
    </row>
    <row r="1682" spans="3:9" x14ac:dyDescent="0.35">
      <c r="C1682" s="2"/>
      <c r="D1682" s="3"/>
      <c r="E1682" s="2"/>
      <c r="F1682" s="2"/>
      <c r="G1682" s="2"/>
      <c r="H1682" s="2"/>
    </row>
    <row r="1683" spans="3:9" x14ac:dyDescent="0.35">
      <c r="C1683" s="2"/>
      <c r="D1683" s="3"/>
      <c r="E1683" s="2"/>
      <c r="F1683" s="2"/>
      <c r="G1683" s="2"/>
      <c r="H1683" s="2"/>
    </row>
    <row r="1684" spans="3:9" x14ac:dyDescent="0.35">
      <c r="C1684" s="2"/>
      <c r="D1684" s="3"/>
      <c r="E1684" s="2"/>
      <c r="F1684" s="2"/>
      <c r="G1684" s="2"/>
      <c r="H1684" s="2"/>
    </row>
    <row r="1685" spans="3:9" x14ac:dyDescent="0.35">
      <c r="C1685" s="2"/>
      <c r="D1685" s="3"/>
      <c r="E1685" s="2"/>
      <c r="F1685" s="2"/>
      <c r="G1685" s="2"/>
      <c r="H1685" s="2"/>
    </row>
    <row r="1686" spans="3:9" x14ac:dyDescent="0.35">
      <c r="C1686" s="2"/>
      <c r="D1686" s="3"/>
      <c r="E1686" s="2"/>
      <c r="F1686" s="2"/>
      <c r="G1686" s="2"/>
      <c r="H1686" s="2"/>
    </row>
    <row r="1687" spans="3:9" x14ac:dyDescent="0.35">
      <c r="C1687" s="2"/>
      <c r="D1687" s="3"/>
      <c r="E1687" s="2"/>
      <c r="F1687" s="2"/>
      <c r="G1687" s="2"/>
      <c r="H1687" s="2"/>
    </row>
    <row r="1688" spans="3:9" x14ac:dyDescent="0.35">
      <c r="C1688" s="2"/>
      <c r="D1688" s="3"/>
      <c r="E1688" s="2"/>
      <c r="F1688" s="2"/>
      <c r="G1688" s="2"/>
      <c r="H1688" s="2"/>
    </row>
    <row r="1689" spans="3:9" x14ac:dyDescent="0.35">
      <c r="C1689" s="2"/>
      <c r="D1689" s="3"/>
      <c r="H1689" s="2"/>
      <c r="I1689" s="2"/>
    </row>
    <row r="1690" spans="3:9" x14ac:dyDescent="0.35">
      <c r="C1690" s="2"/>
      <c r="D1690" s="3"/>
      <c r="H1690" s="2"/>
      <c r="I1690" s="2"/>
    </row>
    <row r="1691" spans="3:9" x14ac:dyDescent="0.35">
      <c r="C1691" s="2"/>
      <c r="D1691" s="3"/>
      <c r="H1691" s="2"/>
      <c r="I1691" s="2"/>
    </row>
    <row r="1692" spans="3:9" x14ac:dyDescent="0.35">
      <c r="C1692" s="2"/>
      <c r="D1692" s="3"/>
      <c r="H1692" s="2"/>
      <c r="I1692" s="2"/>
    </row>
    <row r="1693" spans="3:9" x14ac:dyDescent="0.35">
      <c r="C1693" s="2"/>
      <c r="D1693" s="3"/>
      <c r="H1693" s="2"/>
      <c r="I1693" s="2"/>
    </row>
    <row r="1694" spans="3:9" x14ac:dyDescent="0.35">
      <c r="C1694" s="2"/>
      <c r="D1694" s="3"/>
      <c r="H1694" s="2"/>
      <c r="I1694" s="2"/>
    </row>
    <row r="1695" spans="3:9" x14ac:dyDescent="0.35">
      <c r="C1695" s="2"/>
      <c r="D1695" s="3"/>
      <c r="H1695" s="2"/>
      <c r="I1695" s="2"/>
    </row>
    <row r="1696" spans="3:9" x14ac:dyDescent="0.35">
      <c r="C1696" s="2"/>
      <c r="D1696" s="3"/>
      <c r="H1696" s="2"/>
      <c r="I1696" s="2"/>
    </row>
    <row r="1697" spans="3:9" x14ac:dyDescent="0.35">
      <c r="C1697" s="2"/>
      <c r="D1697" s="3"/>
      <c r="H1697" s="2"/>
      <c r="I1697" s="2"/>
    </row>
    <row r="1698" spans="3:9" x14ac:dyDescent="0.35">
      <c r="C1698" s="2"/>
      <c r="D1698" s="3"/>
      <c r="H1698" s="2"/>
      <c r="I1698" s="2"/>
    </row>
    <row r="1699" spans="3:9" x14ac:dyDescent="0.35">
      <c r="C1699" s="2"/>
      <c r="D1699" s="3"/>
      <c r="E1699" s="2"/>
      <c r="F1699" s="2"/>
      <c r="G1699" s="2"/>
      <c r="I1699" s="2"/>
    </row>
    <row r="1700" spans="3:9" x14ac:dyDescent="0.35">
      <c r="C1700" s="2"/>
      <c r="D1700" s="3"/>
      <c r="E1700" s="2"/>
      <c r="F1700" s="2"/>
      <c r="G1700" s="2"/>
      <c r="H1700" s="2"/>
    </row>
    <row r="1701" spans="3:9" x14ac:dyDescent="0.35">
      <c r="C1701" s="2"/>
      <c r="D1701" s="3"/>
      <c r="E1701" s="2"/>
      <c r="F1701" s="2"/>
      <c r="G1701" s="2"/>
      <c r="H1701" s="2"/>
    </row>
    <row r="1702" spans="3:9" x14ac:dyDescent="0.35">
      <c r="C1702" s="2"/>
      <c r="D1702" s="3"/>
      <c r="E1702" s="2"/>
      <c r="F1702" s="2"/>
      <c r="G1702" s="2"/>
      <c r="H1702" s="2"/>
    </row>
    <row r="1703" spans="3:9" x14ac:dyDescent="0.35">
      <c r="C1703" s="2"/>
      <c r="D1703" s="3"/>
      <c r="E1703" s="2"/>
      <c r="F1703" s="2"/>
      <c r="G1703" s="2"/>
      <c r="H1703" s="2"/>
    </row>
    <row r="1704" spans="3:9" x14ac:dyDescent="0.35">
      <c r="C1704" s="2"/>
      <c r="D1704" s="3"/>
      <c r="E1704" s="2"/>
      <c r="F1704" s="2"/>
      <c r="G1704" s="2"/>
      <c r="H1704" s="2"/>
    </row>
    <row r="1705" spans="3:9" x14ac:dyDescent="0.35">
      <c r="C1705" s="2"/>
      <c r="D1705" s="3"/>
      <c r="E1705" s="2"/>
      <c r="F1705" s="2"/>
      <c r="G1705" s="2"/>
      <c r="H1705" s="2"/>
    </row>
    <row r="1706" spans="3:9" x14ac:dyDescent="0.35">
      <c r="C1706" s="2"/>
      <c r="D1706" s="3"/>
      <c r="E1706" s="2"/>
      <c r="F1706" s="2"/>
      <c r="G1706" s="2"/>
      <c r="H1706" s="2"/>
    </row>
    <row r="1707" spans="3:9" x14ac:dyDescent="0.35">
      <c r="C1707" s="2"/>
      <c r="D1707" s="3"/>
      <c r="E1707" s="2"/>
      <c r="F1707" s="2"/>
      <c r="G1707" s="2"/>
      <c r="H1707" s="2"/>
    </row>
    <row r="1708" spans="3:9" x14ac:dyDescent="0.35">
      <c r="C1708" s="2"/>
      <c r="D1708" s="3"/>
      <c r="E1708" s="2"/>
      <c r="F1708" s="2"/>
      <c r="G1708" s="2"/>
      <c r="H1708" s="2"/>
    </row>
    <row r="1709" spans="3:9" x14ac:dyDescent="0.35">
      <c r="C1709" s="2"/>
      <c r="D1709" s="3"/>
      <c r="E1709" s="2"/>
      <c r="F1709" s="2"/>
      <c r="G1709" s="2"/>
      <c r="H1709" s="2"/>
    </row>
    <row r="1710" spans="3:9" x14ac:dyDescent="0.35">
      <c r="C1710" s="2"/>
      <c r="D1710" s="3"/>
      <c r="H1710" s="2"/>
    </row>
    <row r="1711" spans="3:9" x14ac:dyDescent="0.35">
      <c r="C1711" s="2"/>
      <c r="D1711" s="3"/>
      <c r="H1711" s="2"/>
    </row>
    <row r="1712" spans="3:9" x14ac:dyDescent="0.35">
      <c r="C1712" s="2"/>
      <c r="D1712" s="3"/>
      <c r="H1712" s="2"/>
      <c r="I1712" s="2"/>
    </row>
    <row r="1713" spans="3:9" x14ac:dyDescent="0.35">
      <c r="C1713" s="2"/>
      <c r="D1713" s="3"/>
      <c r="H1713" s="2"/>
      <c r="I1713" s="2"/>
    </row>
    <row r="1714" spans="3:9" x14ac:dyDescent="0.35">
      <c r="C1714" s="2"/>
      <c r="D1714" s="3"/>
      <c r="H1714" s="2"/>
    </row>
    <row r="1715" spans="3:9" x14ac:dyDescent="0.35">
      <c r="C1715" s="2"/>
      <c r="D1715" s="3"/>
      <c r="H1715" s="2"/>
    </row>
    <row r="1716" spans="3:9" x14ac:dyDescent="0.35">
      <c r="C1716" s="2"/>
      <c r="D1716" s="3"/>
      <c r="H1716" s="2"/>
    </row>
    <row r="1717" spans="3:9" x14ac:dyDescent="0.35">
      <c r="C1717" s="2"/>
      <c r="D1717" s="3"/>
      <c r="H1717" s="2"/>
    </row>
    <row r="1718" spans="3:9" x14ac:dyDescent="0.35">
      <c r="C1718" s="2"/>
      <c r="D1718" s="3"/>
      <c r="H1718" s="2"/>
      <c r="I1718" s="2"/>
    </row>
    <row r="1719" spans="3:9" x14ac:dyDescent="0.35">
      <c r="C1719" s="2"/>
      <c r="D1719" s="3"/>
      <c r="H1719" s="2"/>
      <c r="I1719" s="2"/>
    </row>
    <row r="1720" spans="3:9" x14ac:dyDescent="0.35">
      <c r="C1720" s="2"/>
      <c r="D1720" s="3"/>
      <c r="E1720" s="2"/>
      <c r="F1720" s="2"/>
      <c r="G1720" s="2"/>
      <c r="I1720" s="2"/>
    </row>
    <row r="1721" spans="3:9" x14ac:dyDescent="0.35">
      <c r="C1721" s="2"/>
      <c r="D1721" s="3"/>
      <c r="E1721" s="2"/>
      <c r="F1721" s="2"/>
      <c r="G1721" s="2"/>
      <c r="H1721" s="2"/>
    </row>
    <row r="1722" spans="3:9" x14ac:dyDescent="0.35">
      <c r="C1722" s="2"/>
      <c r="D1722" s="3"/>
      <c r="E1722" s="2"/>
      <c r="F1722" s="2"/>
      <c r="G1722" s="2"/>
      <c r="H1722" s="2"/>
    </row>
    <row r="1723" spans="3:9" x14ac:dyDescent="0.35">
      <c r="C1723" s="2"/>
      <c r="D1723" s="3"/>
      <c r="E1723" s="2"/>
      <c r="F1723" s="2"/>
      <c r="G1723" s="2"/>
      <c r="H1723" s="2"/>
    </row>
    <row r="1724" spans="3:9" x14ac:dyDescent="0.35">
      <c r="C1724" s="2"/>
      <c r="D1724" s="3"/>
      <c r="E1724" s="2"/>
      <c r="F1724" s="2"/>
      <c r="G1724" s="2"/>
      <c r="H1724" s="2"/>
      <c r="I1724" s="2"/>
    </row>
  </sheetData>
  <pageMargins left="0.7" right="0.7" top="0.75" bottom="0.75" header="0.3" footer="0.3"/>
  <customProperties>
    <customPr name="REFI_OFFICE_FUNCTION_CLICK_THROUGH_WORKSHEET_NAME" r:id="rId1"/>
    <customPr name="REFI_OFFICE_FUNCTION_DATA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0CCDC-1330-4108-A638-2B0527B9AD72}">
  <dimension ref="A1:D101"/>
  <sheetViews>
    <sheetView workbookViewId="0">
      <selection activeCell="E5" sqref="E5"/>
    </sheetView>
  </sheetViews>
  <sheetFormatPr defaultRowHeight="14.5" x14ac:dyDescent="0.35"/>
  <cols>
    <col min="3" max="4" width="28.453125" customWidth="1"/>
  </cols>
  <sheetData>
    <row r="1" spans="1:4" x14ac:dyDescent="0.35">
      <c r="A1" s="1" t="s">
        <v>0</v>
      </c>
      <c r="C1" s="6" t="str">
        <f>_xll.RDP.Data($A$1:$A$100,"TR.GICSSector","CH=Fd RH=IN")</f>
        <v>Not Signed In</v>
      </c>
      <c r="D1" s="2" t="s">
        <v>135</v>
      </c>
    </row>
    <row r="2" spans="1:4" x14ac:dyDescent="0.35">
      <c r="A2" s="1" t="s">
        <v>1</v>
      </c>
      <c r="C2" s="2" t="s">
        <v>0</v>
      </c>
      <c r="D2" s="2" t="s">
        <v>124</v>
      </c>
    </row>
    <row r="3" spans="1:4" x14ac:dyDescent="0.35">
      <c r="A3" s="1" t="s">
        <v>2</v>
      </c>
      <c r="C3" s="2" t="s">
        <v>1</v>
      </c>
      <c r="D3" s="2" t="s">
        <v>125</v>
      </c>
    </row>
    <row r="4" spans="1:4" x14ac:dyDescent="0.35">
      <c r="A4" s="1" t="s">
        <v>3</v>
      </c>
      <c r="C4" s="2" t="s">
        <v>2</v>
      </c>
      <c r="D4" s="2" t="s">
        <v>126</v>
      </c>
    </row>
    <row r="5" spans="1:4" x14ac:dyDescent="0.35">
      <c r="A5" s="1" t="s">
        <v>4</v>
      </c>
      <c r="C5" s="2" t="s">
        <v>3</v>
      </c>
      <c r="D5" s="2" t="s">
        <v>100</v>
      </c>
    </row>
    <row r="6" spans="1:4" x14ac:dyDescent="0.35">
      <c r="A6" s="1" t="s">
        <v>5</v>
      </c>
      <c r="C6" s="2" t="s">
        <v>4</v>
      </c>
      <c r="D6" s="2" t="s">
        <v>124</v>
      </c>
    </row>
    <row r="7" spans="1:4" x14ac:dyDescent="0.35">
      <c r="A7" s="1" t="s">
        <v>6</v>
      </c>
      <c r="C7" s="2" t="s">
        <v>5</v>
      </c>
      <c r="D7" s="2" t="s">
        <v>126</v>
      </c>
    </row>
    <row r="8" spans="1:4" x14ac:dyDescent="0.35">
      <c r="A8" s="1" t="s">
        <v>7</v>
      </c>
      <c r="C8" s="2" t="s">
        <v>6</v>
      </c>
      <c r="D8" s="2" t="s">
        <v>127</v>
      </c>
    </row>
    <row r="9" spans="1:4" x14ac:dyDescent="0.35">
      <c r="A9" s="1" t="s">
        <v>8</v>
      </c>
      <c r="C9" s="2" t="s">
        <v>7</v>
      </c>
      <c r="D9" s="2" t="s">
        <v>128</v>
      </c>
    </row>
    <row r="10" spans="1:4" x14ac:dyDescent="0.35">
      <c r="A10" s="1" t="s">
        <v>9</v>
      </c>
      <c r="C10" s="2" t="s">
        <v>8</v>
      </c>
      <c r="D10" s="2" t="s">
        <v>127</v>
      </c>
    </row>
    <row r="11" spans="1:4" x14ac:dyDescent="0.35">
      <c r="A11" s="1" t="s">
        <v>10</v>
      </c>
      <c r="C11" s="2" t="s">
        <v>9</v>
      </c>
      <c r="D11" s="2" t="s">
        <v>129</v>
      </c>
    </row>
    <row r="12" spans="1:4" x14ac:dyDescent="0.35">
      <c r="A12" s="1" t="s">
        <v>11</v>
      </c>
      <c r="C12" s="2" t="s">
        <v>10</v>
      </c>
      <c r="D12" s="2" t="s">
        <v>126</v>
      </c>
    </row>
    <row r="13" spans="1:4" x14ac:dyDescent="0.35">
      <c r="A13" s="1" t="s">
        <v>12</v>
      </c>
      <c r="C13" s="2" t="s">
        <v>11</v>
      </c>
      <c r="D13" s="2" t="s">
        <v>130</v>
      </c>
    </row>
    <row r="14" spans="1:4" x14ac:dyDescent="0.35">
      <c r="A14" s="1" t="s">
        <v>13</v>
      </c>
      <c r="C14" s="2" t="s">
        <v>12</v>
      </c>
      <c r="D14" s="2" t="s">
        <v>126</v>
      </c>
    </row>
    <row r="15" spans="1:4" x14ac:dyDescent="0.35">
      <c r="A15" s="1" t="s">
        <v>14</v>
      </c>
      <c r="C15" s="2" t="s">
        <v>13</v>
      </c>
      <c r="D15" s="2" t="s">
        <v>130</v>
      </c>
    </row>
    <row r="16" spans="1:4" x14ac:dyDescent="0.35">
      <c r="A16" s="1" t="s">
        <v>15</v>
      </c>
      <c r="C16" s="2" t="s">
        <v>14</v>
      </c>
      <c r="D16" s="2" t="s">
        <v>124</v>
      </c>
    </row>
    <row r="17" spans="1:4" x14ac:dyDescent="0.35">
      <c r="A17" s="1" t="s">
        <v>16</v>
      </c>
      <c r="C17" s="2" t="s">
        <v>15</v>
      </c>
      <c r="D17" s="2" t="s">
        <v>130</v>
      </c>
    </row>
    <row r="18" spans="1:4" x14ac:dyDescent="0.35">
      <c r="A18" s="1" t="s">
        <v>17</v>
      </c>
      <c r="C18" s="2" t="s">
        <v>16</v>
      </c>
      <c r="D18" s="2" t="s">
        <v>124</v>
      </c>
    </row>
    <row r="19" spans="1:4" x14ac:dyDescent="0.35">
      <c r="A19" s="1" t="s">
        <v>18</v>
      </c>
      <c r="C19" s="2" t="s">
        <v>17</v>
      </c>
      <c r="D19" s="2" t="s">
        <v>131</v>
      </c>
    </row>
    <row r="20" spans="1:4" x14ac:dyDescent="0.35">
      <c r="A20" s="1" t="s">
        <v>19</v>
      </c>
      <c r="C20" s="2" t="s">
        <v>18</v>
      </c>
      <c r="D20" s="2" t="s">
        <v>128</v>
      </c>
    </row>
    <row r="21" spans="1:4" x14ac:dyDescent="0.35">
      <c r="A21" s="1" t="s">
        <v>20</v>
      </c>
      <c r="C21" s="2" t="s">
        <v>19</v>
      </c>
      <c r="D21" s="2" t="s">
        <v>126</v>
      </c>
    </row>
    <row r="22" spans="1:4" x14ac:dyDescent="0.35">
      <c r="A22" s="1" t="s">
        <v>21</v>
      </c>
      <c r="C22" s="2" t="s">
        <v>20</v>
      </c>
      <c r="D22" s="2" t="s">
        <v>124</v>
      </c>
    </row>
    <row r="23" spans="1:4" x14ac:dyDescent="0.35">
      <c r="A23" s="1" t="s">
        <v>22</v>
      </c>
      <c r="C23" s="2" t="s">
        <v>21</v>
      </c>
      <c r="D23" s="2" t="s">
        <v>126</v>
      </c>
    </row>
    <row r="24" spans="1:4" x14ac:dyDescent="0.35">
      <c r="A24" s="1" t="s">
        <v>23</v>
      </c>
      <c r="C24" s="2" t="s">
        <v>22</v>
      </c>
      <c r="D24" s="2" t="s">
        <v>124</v>
      </c>
    </row>
    <row r="25" spans="1:4" x14ac:dyDescent="0.35">
      <c r="A25" s="1" t="s">
        <v>24</v>
      </c>
      <c r="C25" s="2" t="s">
        <v>23</v>
      </c>
      <c r="D25" s="2" t="s">
        <v>126</v>
      </c>
    </row>
    <row r="26" spans="1:4" x14ac:dyDescent="0.35">
      <c r="A26" s="1" t="s">
        <v>25</v>
      </c>
      <c r="C26" s="2" t="s">
        <v>24</v>
      </c>
      <c r="D26" s="2" t="s">
        <v>132</v>
      </c>
    </row>
    <row r="27" spans="1:4" x14ac:dyDescent="0.35">
      <c r="A27" s="1" t="s">
        <v>26</v>
      </c>
      <c r="C27" s="2" t="s">
        <v>25</v>
      </c>
      <c r="D27" s="2" t="s">
        <v>127</v>
      </c>
    </row>
    <row r="28" spans="1:4" x14ac:dyDescent="0.35">
      <c r="A28" s="1" t="s">
        <v>27</v>
      </c>
      <c r="C28" s="2" t="s">
        <v>26</v>
      </c>
      <c r="D28" s="2" t="s">
        <v>133</v>
      </c>
    </row>
    <row r="29" spans="1:4" x14ac:dyDescent="0.35">
      <c r="A29" s="1" t="s">
        <v>28</v>
      </c>
      <c r="C29" s="2" t="s">
        <v>27</v>
      </c>
      <c r="D29" s="2" t="s">
        <v>131</v>
      </c>
    </row>
    <row r="30" spans="1:4" x14ac:dyDescent="0.35">
      <c r="A30" s="1" t="s">
        <v>29</v>
      </c>
      <c r="C30" s="2" t="s">
        <v>28</v>
      </c>
      <c r="D30" s="2" t="s">
        <v>134</v>
      </c>
    </row>
    <row r="31" spans="1:4" x14ac:dyDescent="0.35">
      <c r="A31" s="1" t="s">
        <v>30</v>
      </c>
      <c r="C31" s="2" t="s">
        <v>29</v>
      </c>
      <c r="D31" s="2" t="s">
        <v>133</v>
      </c>
    </row>
    <row r="32" spans="1:4" x14ac:dyDescent="0.35">
      <c r="A32" s="1" t="s">
        <v>31</v>
      </c>
      <c r="C32" s="2" t="s">
        <v>30</v>
      </c>
      <c r="D32" s="2" t="s">
        <v>124</v>
      </c>
    </row>
    <row r="33" spans="1:4" x14ac:dyDescent="0.35">
      <c r="A33" s="1" t="s">
        <v>32</v>
      </c>
      <c r="C33" s="2" t="s">
        <v>31</v>
      </c>
      <c r="D33" s="2" t="s">
        <v>131</v>
      </c>
    </row>
    <row r="34" spans="1:4" x14ac:dyDescent="0.35">
      <c r="A34" s="1" t="s">
        <v>33</v>
      </c>
      <c r="C34" s="2" t="s">
        <v>32</v>
      </c>
      <c r="D34" s="2" t="s">
        <v>130</v>
      </c>
    </row>
    <row r="35" spans="1:4" x14ac:dyDescent="0.35">
      <c r="A35" s="1" t="s">
        <v>34</v>
      </c>
      <c r="C35" s="2" t="s">
        <v>33</v>
      </c>
      <c r="D35" s="2" t="s">
        <v>126</v>
      </c>
    </row>
    <row r="36" spans="1:4" x14ac:dyDescent="0.35">
      <c r="A36" s="1" t="s">
        <v>35</v>
      </c>
      <c r="C36" s="2" t="s">
        <v>34</v>
      </c>
      <c r="D36" s="2" t="s">
        <v>129</v>
      </c>
    </row>
    <row r="37" spans="1:4" x14ac:dyDescent="0.35">
      <c r="A37" s="1" t="s">
        <v>36</v>
      </c>
      <c r="C37" s="2" t="s">
        <v>35</v>
      </c>
      <c r="D37" s="2" t="s">
        <v>126</v>
      </c>
    </row>
    <row r="38" spans="1:4" x14ac:dyDescent="0.35">
      <c r="A38" s="1" t="s">
        <v>37</v>
      </c>
      <c r="C38" s="2" t="s">
        <v>36</v>
      </c>
      <c r="D38" s="2" t="s">
        <v>124</v>
      </c>
    </row>
    <row r="39" spans="1:4" x14ac:dyDescent="0.35">
      <c r="A39" s="1" t="s">
        <v>38</v>
      </c>
      <c r="C39" s="2" t="s">
        <v>37</v>
      </c>
      <c r="D39" s="2" t="s">
        <v>131</v>
      </c>
    </row>
    <row r="40" spans="1:4" x14ac:dyDescent="0.35">
      <c r="A40" s="1" t="s">
        <v>39</v>
      </c>
      <c r="C40" s="2" t="s">
        <v>38</v>
      </c>
      <c r="D40" s="2" t="s">
        <v>132</v>
      </c>
    </row>
    <row r="41" spans="1:4" x14ac:dyDescent="0.35">
      <c r="A41" s="1" t="s">
        <v>40</v>
      </c>
      <c r="C41" s="2" t="s">
        <v>39</v>
      </c>
      <c r="D41" s="2" t="s">
        <v>126</v>
      </c>
    </row>
    <row r="42" spans="1:4" x14ac:dyDescent="0.35">
      <c r="A42" s="1" t="s">
        <v>41</v>
      </c>
      <c r="C42" s="2" t="s">
        <v>40</v>
      </c>
      <c r="D42" s="2" t="s">
        <v>124</v>
      </c>
    </row>
    <row r="43" spans="1:4" x14ac:dyDescent="0.35">
      <c r="A43" s="1" t="s">
        <v>42</v>
      </c>
      <c r="C43" s="2" t="s">
        <v>41</v>
      </c>
      <c r="D43" s="2" t="s">
        <v>124</v>
      </c>
    </row>
    <row r="44" spans="1:4" x14ac:dyDescent="0.35">
      <c r="A44" s="1" t="s">
        <v>43</v>
      </c>
      <c r="C44" s="2" t="s">
        <v>42</v>
      </c>
      <c r="D44" s="2" t="s">
        <v>100</v>
      </c>
    </row>
    <row r="45" spans="1:4" x14ac:dyDescent="0.35">
      <c r="A45" s="1" t="s">
        <v>44</v>
      </c>
      <c r="C45" s="2" t="s">
        <v>43</v>
      </c>
      <c r="D45" s="2" t="s">
        <v>133</v>
      </c>
    </row>
    <row r="46" spans="1:4" x14ac:dyDescent="0.35">
      <c r="A46" s="1" t="s">
        <v>45</v>
      </c>
      <c r="C46" s="2" t="s">
        <v>44</v>
      </c>
      <c r="D46" s="2" t="s">
        <v>129</v>
      </c>
    </row>
    <row r="47" spans="1:4" x14ac:dyDescent="0.35">
      <c r="A47" s="1" t="s">
        <v>46</v>
      </c>
      <c r="C47" s="2" t="s">
        <v>45</v>
      </c>
      <c r="D47" s="2" t="s">
        <v>124</v>
      </c>
    </row>
    <row r="48" spans="1:4" x14ac:dyDescent="0.35">
      <c r="A48" s="1" t="s">
        <v>47</v>
      </c>
      <c r="C48" s="2" t="s">
        <v>46</v>
      </c>
      <c r="D48" s="2" t="s">
        <v>134</v>
      </c>
    </row>
    <row r="49" spans="1:4" x14ac:dyDescent="0.35">
      <c r="A49" s="1" t="s">
        <v>48</v>
      </c>
      <c r="C49" s="2" t="s">
        <v>47</v>
      </c>
      <c r="D49" s="2" t="s">
        <v>128</v>
      </c>
    </row>
    <row r="50" spans="1:4" x14ac:dyDescent="0.35">
      <c r="A50" s="1" t="s">
        <v>49</v>
      </c>
      <c r="C50" s="2" t="s">
        <v>48</v>
      </c>
      <c r="D50" s="2" t="s">
        <v>126</v>
      </c>
    </row>
    <row r="51" spans="1:4" x14ac:dyDescent="0.35">
      <c r="A51" s="1" t="s">
        <v>50</v>
      </c>
      <c r="C51" s="2" t="s">
        <v>49</v>
      </c>
      <c r="D51" s="2" t="s">
        <v>131</v>
      </c>
    </row>
    <row r="52" spans="1:4" x14ac:dyDescent="0.35">
      <c r="A52" s="1" t="s">
        <v>51</v>
      </c>
      <c r="C52" s="2" t="s">
        <v>50</v>
      </c>
      <c r="D52" s="2" t="s">
        <v>131</v>
      </c>
    </row>
    <row r="53" spans="1:4" x14ac:dyDescent="0.35">
      <c r="A53" s="1" t="s">
        <v>52</v>
      </c>
      <c r="C53" s="2" t="s">
        <v>51</v>
      </c>
      <c r="D53" s="2" t="s">
        <v>133</v>
      </c>
    </row>
    <row r="54" spans="1:4" x14ac:dyDescent="0.35">
      <c r="A54" s="1" t="s">
        <v>53</v>
      </c>
      <c r="C54" s="2" t="s">
        <v>52</v>
      </c>
      <c r="D54" s="2" t="s">
        <v>124</v>
      </c>
    </row>
    <row r="55" spans="1:4" x14ac:dyDescent="0.35">
      <c r="A55" s="1" t="s">
        <v>54</v>
      </c>
      <c r="C55" s="2" t="s">
        <v>53</v>
      </c>
      <c r="D55" s="2" t="s">
        <v>131</v>
      </c>
    </row>
    <row r="56" spans="1:4" x14ac:dyDescent="0.35">
      <c r="A56" s="1" t="s">
        <v>55</v>
      </c>
      <c r="C56" s="2" t="s">
        <v>54</v>
      </c>
      <c r="D56" s="2" t="s">
        <v>126</v>
      </c>
    </row>
    <row r="57" spans="1:4" x14ac:dyDescent="0.35">
      <c r="A57" s="1" t="s">
        <v>56</v>
      </c>
      <c r="C57" s="2" t="s">
        <v>55</v>
      </c>
      <c r="D57" s="2" t="s">
        <v>132</v>
      </c>
    </row>
    <row r="58" spans="1:4" x14ac:dyDescent="0.35">
      <c r="A58" s="1" t="s">
        <v>57</v>
      </c>
      <c r="C58" s="2" t="s">
        <v>56</v>
      </c>
      <c r="D58" s="2" t="s">
        <v>126</v>
      </c>
    </row>
    <row r="59" spans="1:4" x14ac:dyDescent="0.35">
      <c r="A59" s="1" t="s">
        <v>58</v>
      </c>
      <c r="C59" s="2" t="s">
        <v>57</v>
      </c>
      <c r="D59" s="2" t="s">
        <v>125</v>
      </c>
    </row>
    <row r="60" spans="1:4" x14ac:dyDescent="0.35">
      <c r="A60" s="1" t="s">
        <v>59</v>
      </c>
      <c r="C60" s="2" t="s">
        <v>58</v>
      </c>
      <c r="D60" s="2" t="s">
        <v>130</v>
      </c>
    </row>
    <row r="61" spans="1:4" x14ac:dyDescent="0.35">
      <c r="A61" s="1" t="s">
        <v>60</v>
      </c>
      <c r="C61" s="2" t="s">
        <v>59</v>
      </c>
      <c r="D61" s="2" t="s">
        <v>130</v>
      </c>
    </row>
    <row r="62" spans="1:4" x14ac:dyDescent="0.35">
      <c r="A62" s="1" t="s">
        <v>61</v>
      </c>
      <c r="C62" s="2" t="s">
        <v>60</v>
      </c>
      <c r="D62" s="2" t="s">
        <v>124</v>
      </c>
    </row>
    <row r="63" spans="1:4" x14ac:dyDescent="0.35">
      <c r="A63" s="1" t="s">
        <v>62</v>
      </c>
      <c r="C63" s="2" t="s">
        <v>61</v>
      </c>
      <c r="D63" s="2" t="s">
        <v>124</v>
      </c>
    </row>
    <row r="64" spans="1:4" x14ac:dyDescent="0.35">
      <c r="A64" s="1" t="s">
        <v>63</v>
      </c>
      <c r="C64" s="2" t="s">
        <v>62</v>
      </c>
      <c r="D64" s="2" t="s">
        <v>126</v>
      </c>
    </row>
    <row r="65" spans="1:4" x14ac:dyDescent="0.35">
      <c r="A65" s="1" t="s">
        <v>64</v>
      </c>
      <c r="C65" s="2" t="s">
        <v>63</v>
      </c>
      <c r="D65" s="2" t="s">
        <v>126</v>
      </c>
    </row>
    <row r="66" spans="1:4" x14ac:dyDescent="0.35">
      <c r="A66" s="1" t="s">
        <v>65</v>
      </c>
      <c r="C66" s="2" t="s">
        <v>64</v>
      </c>
      <c r="D66" s="2" t="s">
        <v>125</v>
      </c>
    </row>
    <row r="67" spans="1:4" x14ac:dyDescent="0.35">
      <c r="A67" s="1" t="s">
        <v>66</v>
      </c>
      <c r="C67" s="2" t="s">
        <v>65</v>
      </c>
      <c r="D67" s="2" t="s">
        <v>127</v>
      </c>
    </row>
    <row r="68" spans="1:4" x14ac:dyDescent="0.35">
      <c r="A68" s="1" t="s">
        <v>67</v>
      </c>
      <c r="C68" s="2" t="s">
        <v>66</v>
      </c>
      <c r="D68" s="2" t="s">
        <v>134</v>
      </c>
    </row>
    <row r="69" spans="1:4" x14ac:dyDescent="0.35">
      <c r="A69" s="1" t="s">
        <v>68</v>
      </c>
      <c r="C69" s="2" t="s">
        <v>67</v>
      </c>
      <c r="D69" s="2" t="s">
        <v>133</v>
      </c>
    </row>
    <row r="70" spans="1:4" x14ac:dyDescent="0.35">
      <c r="A70" s="1" t="s">
        <v>69</v>
      </c>
      <c r="C70" s="2" t="s">
        <v>68</v>
      </c>
      <c r="D70" s="2" t="s">
        <v>124</v>
      </c>
    </row>
    <row r="71" spans="1:4" x14ac:dyDescent="0.35">
      <c r="A71" s="1" t="s">
        <v>70</v>
      </c>
      <c r="C71" s="2" t="s">
        <v>69</v>
      </c>
      <c r="D71" s="2" t="s">
        <v>124</v>
      </c>
    </row>
    <row r="72" spans="1:4" x14ac:dyDescent="0.35">
      <c r="A72" s="1" t="s">
        <v>71</v>
      </c>
      <c r="C72" s="2" t="s">
        <v>70</v>
      </c>
      <c r="D72" s="2" t="s">
        <v>127</v>
      </c>
    </row>
    <row r="73" spans="1:4" x14ac:dyDescent="0.35">
      <c r="A73" s="1" t="s">
        <v>72</v>
      </c>
      <c r="C73" s="2" t="s">
        <v>71</v>
      </c>
      <c r="D73" s="2" t="s">
        <v>131</v>
      </c>
    </row>
    <row r="74" spans="1:4" x14ac:dyDescent="0.35">
      <c r="A74" s="1" t="s">
        <v>73</v>
      </c>
      <c r="C74" s="2" t="s">
        <v>72</v>
      </c>
      <c r="D74" s="2" t="s">
        <v>100</v>
      </c>
    </row>
    <row r="75" spans="1:4" x14ac:dyDescent="0.35">
      <c r="A75" s="1" t="s">
        <v>74</v>
      </c>
      <c r="C75" s="2" t="s">
        <v>73</v>
      </c>
      <c r="D75" s="2" t="s">
        <v>133</v>
      </c>
    </row>
    <row r="76" spans="1:4" x14ac:dyDescent="0.35">
      <c r="A76" s="1" t="s">
        <v>75</v>
      </c>
      <c r="C76" s="2" t="s">
        <v>74</v>
      </c>
      <c r="D76" s="2" t="s">
        <v>131</v>
      </c>
    </row>
    <row r="77" spans="1:4" x14ac:dyDescent="0.35">
      <c r="A77" s="1" t="s">
        <v>76</v>
      </c>
      <c r="C77" s="2" t="s">
        <v>75</v>
      </c>
      <c r="D77" s="2" t="s">
        <v>131</v>
      </c>
    </row>
    <row r="78" spans="1:4" x14ac:dyDescent="0.35">
      <c r="A78" s="1" t="s">
        <v>77</v>
      </c>
      <c r="C78" s="2" t="s">
        <v>76</v>
      </c>
      <c r="D78" s="2" t="s">
        <v>124</v>
      </c>
    </row>
    <row r="79" spans="1:4" x14ac:dyDescent="0.35">
      <c r="A79" s="1" t="s">
        <v>78</v>
      </c>
      <c r="C79" s="2" t="s">
        <v>77</v>
      </c>
      <c r="D79" s="2" t="s">
        <v>134</v>
      </c>
    </row>
    <row r="80" spans="1:4" x14ac:dyDescent="0.35">
      <c r="A80" s="1" t="s">
        <v>79</v>
      </c>
      <c r="C80" s="2" t="s">
        <v>78</v>
      </c>
      <c r="D80" s="2" t="s">
        <v>131</v>
      </c>
    </row>
    <row r="81" spans="1:4" x14ac:dyDescent="0.35">
      <c r="A81" s="1" t="s">
        <v>80</v>
      </c>
      <c r="C81" s="2" t="s">
        <v>79</v>
      </c>
      <c r="D81" s="2" t="s">
        <v>128</v>
      </c>
    </row>
    <row r="82" spans="1:4" x14ac:dyDescent="0.35">
      <c r="A82" s="1" t="s">
        <v>81</v>
      </c>
      <c r="C82" s="2" t="s">
        <v>80</v>
      </c>
      <c r="D82" s="2" t="s">
        <v>100</v>
      </c>
    </row>
    <row r="83" spans="1:4" x14ac:dyDescent="0.35">
      <c r="A83" s="1" t="s">
        <v>82</v>
      </c>
      <c r="C83" s="2" t="s">
        <v>81</v>
      </c>
      <c r="D83" s="2" t="s">
        <v>126</v>
      </c>
    </row>
    <row r="84" spans="1:4" x14ac:dyDescent="0.35">
      <c r="A84" s="1" t="s">
        <v>83</v>
      </c>
      <c r="C84" s="2" t="s">
        <v>82</v>
      </c>
      <c r="D84" s="2" t="s">
        <v>130</v>
      </c>
    </row>
    <row r="85" spans="1:4" x14ac:dyDescent="0.35">
      <c r="A85" s="1" t="s">
        <v>84</v>
      </c>
      <c r="C85" s="2" t="s">
        <v>83</v>
      </c>
      <c r="D85" s="2" t="s">
        <v>124</v>
      </c>
    </row>
    <row r="86" spans="1:4" x14ac:dyDescent="0.35">
      <c r="A86" s="1" t="s">
        <v>85</v>
      </c>
      <c r="C86" s="2" t="s">
        <v>84</v>
      </c>
      <c r="D86" s="2" t="s">
        <v>125</v>
      </c>
    </row>
    <row r="87" spans="1:4" x14ac:dyDescent="0.35">
      <c r="A87" s="1" t="s">
        <v>86</v>
      </c>
      <c r="C87" s="2" t="s">
        <v>85</v>
      </c>
      <c r="D87" s="2" t="s">
        <v>128</v>
      </c>
    </row>
    <row r="88" spans="1:4" x14ac:dyDescent="0.35">
      <c r="A88" s="1" t="s">
        <v>87</v>
      </c>
      <c r="C88" s="2" t="s">
        <v>86</v>
      </c>
      <c r="D88" s="2" t="s">
        <v>125</v>
      </c>
    </row>
    <row r="89" spans="1:4" x14ac:dyDescent="0.35">
      <c r="A89" s="1" t="s">
        <v>88</v>
      </c>
      <c r="C89" s="2" t="s">
        <v>87</v>
      </c>
      <c r="D89" s="2" t="s">
        <v>130</v>
      </c>
    </row>
    <row r="90" spans="1:4" x14ac:dyDescent="0.35">
      <c r="A90" s="1" t="s">
        <v>89</v>
      </c>
      <c r="C90" s="2" t="s">
        <v>88</v>
      </c>
      <c r="D90" s="2" t="s">
        <v>100</v>
      </c>
    </row>
    <row r="91" spans="1:4" x14ac:dyDescent="0.35">
      <c r="A91" s="1" t="s">
        <v>90</v>
      </c>
      <c r="C91" s="2" t="s">
        <v>89</v>
      </c>
      <c r="D91" s="2" t="s">
        <v>130</v>
      </c>
    </row>
    <row r="92" spans="1:4" x14ac:dyDescent="0.35">
      <c r="A92" s="1" t="s">
        <v>91</v>
      </c>
      <c r="C92" s="2" t="s">
        <v>90</v>
      </c>
      <c r="D92" s="2" t="s">
        <v>124</v>
      </c>
    </row>
    <row r="93" spans="1:4" x14ac:dyDescent="0.35">
      <c r="A93" s="1" t="s">
        <v>92</v>
      </c>
      <c r="C93" s="2" t="s">
        <v>91</v>
      </c>
      <c r="D93" s="2" t="s">
        <v>124</v>
      </c>
    </row>
    <row r="94" spans="1:4" x14ac:dyDescent="0.35">
      <c r="A94" s="1" t="s">
        <v>93</v>
      </c>
      <c r="C94" s="2" t="s">
        <v>92</v>
      </c>
      <c r="D94" s="2" t="s">
        <v>134</v>
      </c>
    </row>
    <row r="95" spans="1:4" x14ac:dyDescent="0.35">
      <c r="A95" s="1" t="s">
        <v>94</v>
      </c>
      <c r="C95" s="2" t="s">
        <v>93</v>
      </c>
      <c r="D95" s="2" t="s">
        <v>126</v>
      </c>
    </row>
    <row r="96" spans="1:4" x14ac:dyDescent="0.35">
      <c r="A96" s="1" t="s">
        <v>95</v>
      </c>
      <c r="C96" s="2" t="s">
        <v>94</v>
      </c>
      <c r="D96" s="2" t="s">
        <v>124</v>
      </c>
    </row>
    <row r="97" spans="1:4" x14ac:dyDescent="0.35">
      <c r="A97" s="1" t="s">
        <v>96</v>
      </c>
      <c r="C97" s="2" t="s">
        <v>95</v>
      </c>
      <c r="D97" s="2" t="s">
        <v>133</v>
      </c>
    </row>
    <row r="98" spans="1:4" x14ac:dyDescent="0.35">
      <c r="A98" s="1" t="s">
        <v>97</v>
      </c>
      <c r="C98" s="2" t="s">
        <v>96</v>
      </c>
      <c r="D98" s="2" t="s">
        <v>130</v>
      </c>
    </row>
    <row r="99" spans="1:4" x14ac:dyDescent="0.35">
      <c r="A99" s="1" t="s">
        <v>98</v>
      </c>
      <c r="C99" s="2" t="s">
        <v>97</v>
      </c>
      <c r="D99" s="2" t="s">
        <v>124</v>
      </c>
    </row>
    <row r="100" spans="1:4" x14ac:dyDescent="0.35">
      <c r="A100" s="1" t="s">
        <v>99</v>
      </c>
      <c r="C100" s="2" t="s">
        <v>98</v>
      </c>
      <c r="D100" s="2" t="s">
        <v>130</v>
      </c>
    </row>
    <row r="101" spans="1:4" x14ac:dyDescent="0.35">
      <c r="C101" s="2" t="s">
        <v>99</v>
      </c>
      <c r="D101" s="2" t="s">
        <v>131</v>
      </c>
    </row>
  </sheetData>
  <pageMargins left="0.7" right="0.7" top="0.75" bottom="0.75" header="0.3" footer="0.3"/>
  <customProperties>
    <customPr name="REFI_OFFICE_FUNCTION_DATA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Shahi</dc:creator>
  <cp:lastModifiedBy>Navya Shahi</cp:lastModifiedBy>
  <dcterms:created xsi:type="dcterms:W3CDTF">2026-08-08T00:44:55Z</dcterms:created>
  <dcterms:modified xsi:type="dcterms:W3CDTF">2026-10-21T12:04:22Z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owerlinkCOMAddIn.COMAddIn.WebAddinBridge.Options">
    <vt:lpwstr>{"port":50152,"version":"1.26.725"}</vt:lpwstr>
  </property>
</Properties>
</file>